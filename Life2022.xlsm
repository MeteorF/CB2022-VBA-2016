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teor\OneDrive\BBA IFMG (2014-2017)\2016-17 SemA\CB2022 Bus Prog with Spreadsheet\CB20222 GPPJ_3\"/>
    </mc:Choice>
  </mc:AlternateContent>
  <bookViews>
    <workbookView xWindow="0" yWindow="0" windowWidth="12343" windowHeight="8537" tabRatio="725" firstSheet="1" activeTab="1"/>
  </bookViews>
  <sheets>
    <sheet name="(Master)ViewQuoteTemplate" sheetId="9" state="hidden" r:id="rId1"/>
    <sheet name="Title" sheetId="15" r:id="rId2"/>
    <sheet name="ViewQuote" sheetId="14" r:id="rId3"/>
    <sheet name="QuoteTable" sheetId="8" r:id="rId4"/>
    <sheet name="OccupationTable" sheetId="7" state="hidden" r:id="rId5"/>
    <sheet name="LifeTable" sheetId="5" state="hidden" r:id="rId6"/>
    <sheet name="StaffLoginInfo" sheetId="6" state="hidden" r:id="rId7"/>
    <sheet name="Config" sheetId="2" state="hidden" r:id="rId8"/>
  </sheets>
  <functionGroups builtInGroupCount="18"/>
  <definedNames>
    <definedName name="_xlnm.Print_Area" localSheetId="0">'(Master)ViewQuoteTemplate'!$A$1:$L$58</definedName>
    <definedName name="_xlnm.Print_Area" localSheetId="2">ViewQuote!$A$1:$L$58</definedName>
    <definedName name="YOB" localSheetId="2">ViewQuote!$B$11</definedName>
    <definedName name="YOB">'(Master)ViewQuoteTemplate'!$B$11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14" l="1"/>
  <c r="B30" i="9" l="1"/>
  <c r="C10" i="9"/>
  <c r="B12" i="14"/>
  <c r="E9" i="14" s="1"/>
  <c r="B30" i="14"/>
  <c r="E19" i="14"/>
  <c r="E15" i="14"/>
  <c r="E14" i="14"/>
  <c r="E4" i="14"/>
  <c r="E19" i="9"/>
  <c r="E15" i="9"/>
  <c r="E14" i="9"/>
  <c r="E16" i="9" s="1"/>
  <c r="E4" i="9"/>
  <c r="B12" i="9"/>
  <c r="E16" i="14" l="1"/>
  <c r="E8" i="14"/>
  <c r="E7" i="14" s="1"/>
  <c r="E10" i="14"/>
  <c r="E11" i="14" s="1"/>
  <c r="E10" i="9"/>
  <c r="E9" i="9"/>
  <c r="E13" i="14" l="1"/>
  <c r="E18" i="14" s="1"/>
  <c r="E20" i="14" s="1"/>
  <c r="E21" i="14" s="1"/>
  <c r="E22" i="14" s="1"/>
  <c r="E11" i="9"/>
  <c r="E23" i="14" l="1"/>
  <c r="I22" i="14"/>
  <c r="J22" i="14" s="1"/>
  <c r="I23" i="14"/>
  <c r="K22" i="14" l="1"/>
  <c r="L22" i="14" s="1"/>
  <c r="H23" i="14" s="1"/>
  <c r="J23" i="14" s="1"/>
  <c r="K23" i="14" l="1"/>
  <c r="L23" i="14" s="1"/>
  <c r="G2" i="6"/>
  <c r="H2" i="6" s="1"/>
  <c r="G3" i="6"/>
  <c r="H3" i="6" s="1"/>
  <c r="E8" i="9" l="1"/>
  <c r="E7" i="9" l="1"/>
  <c r="E13" i="9"/>
  <c r="E18" i="9" s="1"/>
  <c r="E20" i="9" s="1"/>
  <c r="E21" i="9" s="1"/>
  <c r="E22" i="9" s="1"/>
  <c r="I31" i="9" l="1"/>
  <c r="I27" i="9"/>
  <c r="I41" i="9"/>
  <c r="I35" i="9"/>
  <c r="I55" i="9"/>
  <c r="I56" i="9"/>
  <c r="I42" i="9"/>
  <c r="I45" i="9"/>
  <c r="I58" i="9"/>
  <c r="I24" i="9"/>
  <c r="I44" i="9"/>
  <c r="I52" i="9"/>
  <c r="I23" i="9"/>
  <c r="I48" i="9"/>
  <c r="I51" i="9"/>
  <c r="I37" i="9"/>
  <c r="I33" i="9"/>
  <c r="I53" i="9"/>
  <c r="I38" i="9"/>
  <c r="I54" i="9"/>
  <c r="I39" i="9"/>
  <c r="I47" i="9"/>
  <c r="I25" i="9"/>
  <c r="I34" i="9"/>
  <c r="I32" i="9"/>
  <c r="I46" i="9"/>
  <c r="I30" i="9"/>
  <c r="I43" i="9"/>
  <c r="I36" i="9"/>
  <c r="I49" i="9"/>
  <c r="E23" i="9"/>
  <c r="I40" i="9"/>
  <c r="I26" i="9"/>
  <c r="I29" i="9"/>
  <c r="I57" i="9"/>
  <c r="I50" i="9"/>
  <c r="I28" i="9"/>
  <c r="I22" i="9"/>
  <c r="J22" i="9" s="1"/>
  <c r="K22" i="9" l="1"/>
  <c r="L22" i="9" s="1"/>
  <c r="H23" i="9" s="1"/>
  <c r="J23" i="9" s="1"/>
  <c r="K23" i="9" l="1"/>
  <c r="L23" i="9" s="1"/>
  <c r="H24" i="9" s="1"/>
  <c r="J24" i="9" s="1"/>
  <c r="K24" i="9" l="1"/>
  <c r="L24" i="9" s="1"/>
  <c r="H25" i="9" s="1"/>
  <c r="J25" i="9" s="1"/>
  <c r="K25" i="9" l="1"/>
  <c r="L25" i="9" s="1"/>
  <c r="H26" i="9" s="1"/>
  <c r="J26" i="9" s="1"/>
  <c r="K26" i="9" l="1"/>
  <c r="L26" i="9" s="1"/>
  <c r="H27" i="9" s="1"/>
  <c r="J27" i="9" s="1"/>
  <c r="K27" i="9" l="1"/>
  <c r="L27" i="9" s="1"/>
  <c r="H28" i="9" s="1"/>
  <c r="J28" i="9" s="1"/>
  <c r="K28" i="9" l="1"/>
  <c r="L28" i="9" s="1"/>
  <c r="H29" i="9" s="1"/>
  <c r="J29" i="9" s="1"/>
  <c r="K29" i="9" l="1"/>
  <c r="L29" i="9" s="1"/>
  <c r="H30" i="9" s="1"/>
  <c r="J30" i="9" s="1"/>
  <c r="K30" i="9" l="1"/>
  <c r="L30" i="9" s="1"/>
  <c r="H31" i="9" s="1"/>
  <c r="J31" i="9" s="1"/>
  <c r="K31" i="9" l="1"/>
  <c r="L31" i="9" s="1"/>
  <c r="H32" i="9" s="1"/>
  <c r="J32" i="9" s="1"/>
  <c r="K32" i="9" l="1"/>
  <c r="L32" i="9" s="1"/>
  <c r="H33" i="9" s="1"/>
  <c r="J33" i="9" s="1"/>
  <c r="K33" i="9" l="1"/>
  <c r="L33" i="9" s="1"/>
  <c r="H34" i="9" s="1"/>
  <c r="J34" i="9" s="1"/>
  <c r="K34" i="9" l="1"/>
  <c r="L34" i="9" s="1"/>
  <c r="H35" i="9" s="1"/>
  <c r="J35" i="9" s="1"/>
  <c r="K35" i="9" l="1"/>
  <c r="L35" i="9" s="1"/>
  <c r="H36" i="9" s="1"/>
  <c r="J36" i="9" s="1"/>
  <c r="K36" i="9" l="1"/>
  <c r="L36" i="9" s="1"/>
  <c r="H37" i="9" s="1"/>
  <c r="J37" i="9" s="1"/>
  <c r="K37" i="9" l="1"/>
  <c r="L37" i="9" s="1"/>
  <c r="H38" i="9" s="1"/>
  <c r="J38" i="9" s="1"/>
  <c r="K38" i="9" l="1"/>
  <c r="L38" i="9" s="1"/>
  <c r="H39" i="9" s="1"/>
  <c r="J39" i="9" s="1"/>
  <c r="K39" i="9" l="1"/>
  <c r="L39" i="9" s="1"/>
  <c r="H40" i="9" s="1"/>
  <c r="J40" i="9" s="1"/>
  <c r="K40" i="9" l="1"/>
  <c r="L40" i="9" s="1"/>
  <c r="H41" i="9" s="1"/>
  <c r="J41" i="9" s="1"/>
  <c r="K41" i="9" l="1"/>
  <c r="L41" i="9" s="1"/>
  <c r="H42" i="9" s="1"/>
  <c r="J42" i="9" s="1"/>
  <c r="K42" i="9" l="1"/>
  <c r="L42" i="9" s="1"/>
  <c r="H43" i="9" s="1"/>
  <c r="J43" i="9" s="1"/>
  <c r="K43" i="9" l="1"/>
  <c r="L43" i="9" s="1"/>
  <c r="H44" i="9" s="1"/>
  <c r="J44" i="9" s="1"/>
  <c r="K44" i="9" l="1"/>
  <c r="L44" i="9" s="1"/>
  <c r="H45" i="9" s="1"/>
  <c r="J45" i="9" s="1"/>
  <c r="K45" i="9" l="1"/>
  <c r="L45" i="9" s="1"/>
  <c r="H46" i="9" s="1"/>
  <c r="J46" i="9" s="1"/>
  <c r="K46" i="9" l="1"/>
  <c r="L46" i="9" s="1"/>
  <c r="H47" i="9" s="1"/>
  <c r="J47" i="9" s="1"/>
  <c r="K47" i="9" l="1"/>
  <c r="L47" i="9" s="1"/>
  <c r="H48" i="9" s="1"/>
  <c r="J48" i="9" s="1"/>
  <c r="K48" i="9" l="1"/>
  <c r="L48" i="9" s="1"/>
  <c r="H49" i="9" s="1"/>
  <c r="J49" i="9" s="1"/>
  <c r="K49" i="9" l="1"/>
  <c r="L49" i="9" s="1"/>
  <c r="H50" i="9" s="1"/>
  <c r="J50" i="9" s="1"/>
  <c r="K50" i="9" l="1"/>
  <c r="L50" i="9" s="1"/>
  <c r="H51" i="9" s="1"/>
  <c r="J51" i="9" s="1"/>
  <c r="K51" i="9" l="1"/>
  <c r="L51" i="9" s="1"/>
  <c r="H52" i="9" s="1"/>
  <c r="J52" i="9" s="1"/>
  <c r="K52" i="9" l="1"/>
  <c r="L52" i="9" s="1"/>
  <c r="H53" i="9" s="1"/>
  <c r="J53" i="9" s="1"/>
  <c r="K53" i="9" l="1"/>
  <c r="L53" i="9" s="1"/>
  <c r="H54" i="9" s="1"/>
  <c r="J54" i="9" s="1"/>
  <c r="K54" i="9" l="1"/>
  <c r="L54" i="9" s="1"/>
  <c r="H55" i="9" s="1"/>
  <c r="J55" i="9" s="1"/>
  <c r="K55" i="9" l="1"/>
  <c r="L55" i="9" s="1"/>
  <c r="H56" i="9" s="1"/>
  <c r="J56" i="9" s="1"/>
  <c r="K56" i="9" l="1"/>
  <c r="L56" i="9" s="1"/>
  <c r="H57" i="9" s="1"/>
  <c r="J57" i="9" s="1"/>
  <c r="K57" i="9" l="1"/>
  <c r="L57" i="9" s="1"/>
  <c r="H58" i="9" s="1"/>
  <c r="J58" i="9" s="1"/>
  <c r="K58" i="9" l="1"/>
  <c r="L58" i="9" s="1"/>
  <c r="C10" i="14"/>
</calcChain>
</file>

<file path=xl/comments1.xml><?xml version="1.0" encoding="utf-8"?>
<comments xmlns="http://schemas.openxmlformats.org/spreadsheetml/2006/main">
  <authors>
    <author>MeteoR Figel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Extracted from "Hong Kong Life Table for males, 2016" &amp; "Hong Kong Life Table for females, 2016"</t>
        </r>
      </text>
    </comment>
  </commentList>
</comments>
</file>

<file path=xl/comments2.xml><?xml version="1.0" encoding="utf-8"?>
<comments xmlns="http://schemas.openxmlformats.org/spreadsheetml/2006/main">
  <authors>
    <author>MeteoR Figel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Only System Admin can access.</t>
        </r>
      </text>
    </comment>
  </commentList>
</comments>
</file>

<file path=xl/sharedStrings.xml><?xml version="1.0" encoding="utf-8"?>
<sst xmlns="http://schemas.openxmlformats.org/spreadsheetml/2006/main" count="218" uniqueCount="161">
  <si>
    <t>fontSizeLarge</t>
    <phoneticPr fontId="1" type="noConversion"/>
  </si>
  <si>
    <t>fontSizeMedium</t>
    <phoneticPr fontId="1" type="noConversion"/>
  </si>
  <si>
    <t>fontSizeSmall</t>
    <phoneticPr fontId="1" type="noConversion"/>
  </si>
  <si>
    <t>Item</t>
    <phoneticPr fontId="1" type="noConversion"/>
  </si>
  <si>
    <t>Value</t>
    <phoneticPr fontId="1" type="noConversion"/>
  </si>
  <si>
    <t>FemaleExpectationOfLife</t>
  </si>
  <si>
    <t>MaleExpectationOfLife</t>
    <phoneticPr fontId="1" type="noConversion"/>
  </si>
  <si>
    <t>Age</t>
    <phoneticPr fontId="1" type="noConversion"/>
  </si>
  <si>
    <t>Tahoma</t>
    <phoneticPr fontId="1" type="noConversion"/>
  </si>
  <si>
    <t>compName</t>
    <phoneticPr fontId="1" type="noConversion"/>
  </si>
  <si>
    <t>compLogo</t>
    <phoneticPr fontId="1" type="noConversion"/>
  </si>
  <si>
    <t>version</t>
    <phoneticPr fontId="1" type="noConversion"/>
  </si>
  <si>
    <t>Life2022 Ltd.</t>
    <phoneticPr fontId="1" type="noConversion"/>
  </si>
  <si>
    <t>v1.0</t>
    <phoneticPr fontId="1" type="noConversion"/>
  </si>
  <si>
    <t>\Asset\CompLogo.jpg</t>
    <phoneticPr fontId="1" type="noConversion"/>
  </si>
  <si>
    <t>fontFamily</t>
    <phoneticPr fontId="1" type="noConversion"/>
  </si>
  <si>
    <t>passwordHidden</t>
    <phoneticPr fontId="1" type="noConversion"/>
  </si>
  <si>
    <t>passwordDisplayLogo</t>
    <phoneticPr fontId="1" type="noConversion"/>
  </si>
  <si>
    <t>\Asset\passwordDisplay.jpg</t>
    <phoneticPr fontId="1" type="noConversion"/>
  </si>
  <si>
    <t>\Asset\passwordHide.jpg</t>
    <phoneticPr fontId="1" type="noConversion"/>
  </si>
  <si>
    <t>passwordHideLogo</t>
    <phoneticPr fontId="1" type="noConversion"/>
  </si>
  <si>
    <t>UserName</t>
    <phoneticPr fontId="1" type="noConversion"/>
  </si>
  <si>
    <t>Password</t>
    <phoneticPr fontId="1" type="noConversion"/>
  </si>
  <si>
    <t>admin</t>
    <phoneticPr fontId="1" type="noConversion"/>
  </si>
  <si>
    <t>admin</t>
    <phoneticPr fontId="1" type="noConversion"/>
  </si>
  <si>
    <t>stafftest</t>
    <phoneticPr fontId="1" type="noConversion"/>
  </si>
  <si>
    <t>True</t>
    <phoneticPr fontId="1" type="noConversion"/>
  </si>
  <si>
    <t>Name</t>
    <phoneticPr fontId="1" type="noConversion"/>
  </si>
  <si>
    <t>Admin</t>
    <phoneticPr fontId="1" type="noConversion"/>
  </si>
  <si>
    <t>LastLogin</t>
    <phoneticPr fontId="1" type="noConversion"/>
  </si>
  <si>
    <t>EmpID</t>
    <phoneticPr fontId="1" type="noConversion"/>
  </si>
  <si>
    <t>Excel</t>
    <phoneticPr fontId="1" type="noConversion"/>
  </si>
  <si>
    <t>AccessLevel</t>
    <phoneticPr fontId="1" type="noConversion"/>
  </si>
  <si>
    <t>LastLoginDate</t>
    <phoneticPr fontId="1" type="noConversion"/>
  </si>
  <si>
    <t>LastLoginTime</t>
    <phoneticPr fontId="1" type="noConversion"/>
  </si>
  <si>
    <t>10</t>
    <phoneticPr fontId="1" type="noConversion"/>
  </si>
  <si>
    <t>expIntRate</t>
    <phoneticPr fontId="1" type="noConversion"/>
  </si>
  <si>
    <t>expInfRate</t>
    <phoneticPr fontId="1" type="noConversion"/>
  </si>
  <si>
    <t>Sector</t>
    <phoneticPr fontId="1" type="noConversion"/>
  </si>
  <si>
    <t>Agriculture, forestry, fishing, mining</t>
    <phoneticPr fontId="1" type="noConversion"/>
  </si>
  <si>
    <t>Manufacturing</t>
    <phoneticPr fontId="1" type="noConversion"/>
  </si>
  <si>
    <t>Construction</t>
    <phoneticPr fontId="1" type="noConversion"/>
  </si>
  <si>
    <t>Transports and mailing industry</t>
    <phoneticPr fontId="1" type="noConversion"/>
  </si>
  <si>
    <t>Wholesale trade, retail trade</t>
    <phoneticPr fontId="1" type="noConversion"/>
  </si>
  <si>
    <t>Finance industry, Insurance industry</t>
    <phoneticPr fontId="1" type="noConversion"/>
  </si>
  <si>
    <t>Education</t>
    <phoneticPr fontId="1" type="noConversion"/>
  </si>
  <si>
    <t>Health and social work</t>
    <phoneticPr fontId="1" type="noConversion"/>
  </si>
  <si>
    <t>Information and communication industries</t>
    <phoneticPr fontId="1" type="noConversion"/>
  </si>
  <si>
    <t>Hotels and restaurants</t>
    <phoneticPr fontId="1" type="noConversion"/>
  </si>
  <si>
    <t>Risk to death</t>
    <phoneticPr fontId="1" type="noConversion"/>
  </si>
  <si>
    <t>TypeID</t>
    <phoneticPr fontId="1" type="noConversion"/>
  </si>
  <si>
    <t>Others</t>
    <phoneticPr fontId="1" type="noConversion"/>
  </si>
  <si>
    <t>3</t>
    <phoneticPr fontId="1" type="noConversion"/>
  </si>
  <si>
    <t>5</t>
    <phoneticPr fontId="1" type="noConversion"/>
  </si>
  <si>
    <t>PMT</t>
    <phoneticPr fontId="1" type="noConversion"/>
  </si>
  <si>
    <t>QuoteID</t>
    <phoneticPr fontId="1" type="noConversion"/>
  </si>
  <si>
    <t>LastName</t>
    <phoneticPr fontId="1" type="noConversion"/>
  </si>
  <si>
    <t>FirstName</t>
    <phoneticPr fontId="1" type="noConversion"/>
  </si>
  <si>
    <t>Email</t>
    <phoneticPr fontId="1" type="noConversion"/>
  </si>
  <si>
    <t>Gender</t>
    <phoneticPr fontId="1" type="noConversion"/>
  </si>
  <si>
    <t>RetireYear</t>
    <phoneticPr fontId="1" type="noConversion"/>
  </si>
  <si>
    <t>LiqAsset</t>
    <phoneticPr fontId="1" type="noConversion"/>
  </si>
  <si>
    <t>Occupation</t>
    <phoneticPr fontId="1" type="noConversion"/>
  </si>
  <si>
    <t>Smoke</t>
    <phoneticPr fontId="1" type="noConversion"/>
  </si>
  <si>
    <t>SmokeYear</t>
    <phoneticPr fontId="1" type="noConversion"/>
  </si>
  <si>
    <t>Mobile</t>
    <phoneticPr fontId="1" type="noConversion"/>
  </si>
  <si>
    <t>LifeInsCoverage</t>
    <phoneticPr fontId="1" type="noConversion"/>
  </si>
  <si>
    <t>Saving</t>
    <phoneticPr fontId="1" type="noConversion"/>
  </si>
  <si>
    <t>FinalExp</t>
    <phoneticPr fontId="1" type="noConversion"/>
  </si>
  <si>
    <t>MonthlyExp</t>
    <phoneticPr fontId="1" type="noConversion"/>
  </si>
  <si>
    <t>ChildEduExp</t>
    <phoneticPr fontId="1" type="noConversion"/>
  </si>
  <si>
    <t>YOB</t>
    <phoneticPr fontId="1" type="noConversion"/>
  </si>
  <si>
    <t>expIntRate</t>
    <phoneticPr fontId="1" type="noConversion"/>
  </si>
  <si>
    <t>expInfRate</t>
    <phoneticPr fontId="1" type="noConversion"/>
  </si>
  <si>
    <t>ExpCompleteYear</t>
    <phoneticPr fontId="1" type="noConversion"/>
  </si>
  <si>
    <t>Liability</t>
    <phoneticPr fontId="1" type="noConversion"/>
  </si>
  <si>
    <t>LastModified</t>
    <phoneticPr fontId="1" type="noConversion"/>
  </si>
  <si>
    <t>M</t>
  </si>
  <si>
    <t>M</t>
    <phoneticPr fontId="1" type="noConversion"/>
  </si>
  <si>
    <t>Used To</t>
    <phoneticPr fontId="1" type="noConversion"/>
  </si>
  <si>
    <t>No</t>
  </si>
  <si>
    <t>Last modified</t>
    <phoneticPr fontId="1" type="noConversion"/>
  </si>
  <si>
    <t>Email</t>
    <phoneticPr fontId="1" type="noConversion"/>
  </si>
  <si>
    <t>Gender</t>
    <phoneticPr fontId="1" type="noConversion"/>
  </si>
  <si>
    <t>Year of Birth</t>
    <phoneticPr fontId="1" type="noConversion"/>
  </si>
  <si>
    <t>Age</t>
    <phoneticPr fontId="1" type="noConversion"/>
  </si>
  <si>
    <t>Family</t>
    <phoneticPr fontId="1" type="noConversion"/>
  </si>
  <si>
    <t>Monthly Expenses</t>
    <phoneticPr fontId="1" type="noConversion"/>
  </si>
  <si>
    <t>Future expenses for children's education</t>
    <phoneticPr fontId="1" type="noConversion"/>
  </si>
  <si>
    <t>Future Planning</t>
    <phoneticPr fontId="1" type="noConversion"/>
  </si>
  <si>
    <t>Expected to retire at (age)</t>
    <phoneticPr fontId="1" type="noConversion"/>
  </si>
  <si>
    <t>Expected to complete all payments by (age)</t>
    <phoneticPr fontId="1" type="noConversion"/>
  </si>
  <si>
    <t>Final Expenses</t>
    <phoneticPr fontId="1" type="noConversion"/>
  </si>
  <si>
    <t>Current Finance</t>
    <phoneticPr fontId="1" type="noConversion"/>
  </si>
  <si>
    <t>Life Insurance coverage</t>
    <phoneticPr fontId="1" type="noConversion"/>
  </si>
  <si>
    <t>Liquid assets</t>
    <phoneticPr fontId="1" type="noConversion"/>
  </si>
  <si>
    <t>Liabilities</t>
    <phoneticPr fontId="1" type="noConversion"/>
  </si>
  <si>
    <t>Savings</t>
    <phoneticPr fontId="1" type="noConversion"/>
  </si>
  <si>
    <t>Financial Rates</t>
    <phoneticPr fontId="1" type="noConversion"/>
  </si>
  <si>
    <t>Expected Interest Rate</t>
    <phoneticPr fontId="1" type="noConversion"/>
  </si>
  <si>
    <t>Expected Inflation Rate</t>
    <phoneticPr fontId="1" type="noConversion"/>
  </si>
  <si>
    <t>Calculation</t>
    <phoneticPr fontId="1" type="noConversion"/>
  </si>
  <si>
    <t>Life Expectancy</t>
    <phoneticPr fontId="1" type="noConversion"/>
  </si>
  <si>
    <t>Remaining life</t>
    <phoneticPr fontId="1" type="noConversion"/>
  </si>
  <si>
    <t>Remaining years to retire</t>
    <phoneticPr fontId="1" type="noConversion"/>
  </si>
  <si>
    <t>Remaining years to target</t>
    <phoneticPr fontId="1" type="noConversion"/>
  </si>
  <si>
    <t>Installment</t>
    <phoneticPr fontId="1" type="noConversion"/>
  </si>
  <si>
    <t>Gross Needs</t>
    <phoneticPr fontId="1" type="noConversion"/>
  </si>
  <si>
    <t>Total Needs</t>
    <phoneticPr fontId="1" type="noConversion"/>
  </si>
  <si>
    <t>Total Liquid Assets</t>
    <phoneticPr fontId="1" type="noConversion"/>
  </si>
  <si>
    <t>Net Protection Needs (PV)</t>
    <phoneticPr fontId="1" type="noConversion"/>
  </si>
  <si>
    <t>Net Protection Needs (FV)</t>
    <phoneticPr fontId="1" type="noConversion"/>
  </si>
  <si>
    <t>Annual Premium</t>
    <phoneticPr fontId="1" type="noConversion"/>
  </si>
  <si>
    <t>Monthly Premium</t>
    <phoneticPr fontId="1" type="noConversion"/>
  </si>
  <si>
    <t>Risk Factors</t>
    <phoneticPr fontId="1" type="noConversion"/>
  </si>
  <si>
    <t>Risk factors (Occupation)</t>
    <phoneticPr fontId="1" type="noConversion"/>
  </si>
  <si>
    <t>Risk factors (Health)</t>
    <phoneticPr fontId="1" type="noConversion"/>
  </si>
  <si>
    <t>Smoke habit</t>
    <phoneticPr fontId="1" type="noConversion"/>
  </si>
  <si>
    <t>Smoke for (years)</t>
    <phoneticPr fontId="1" type="noConversion"/>
  </si>
  <si>
    <t>Contact</t>
    <phoneticPr fontId="1" type="noConversion"/>
  </si>
  <si>
    <t>Basic Info</t>
    <phoneticPr fontId="1" type="noConversion"/>
  </si>
  <si>
    <t>abc@gmail.com</t>
    <phoneticPr fontId="1" type="noConversion"/>
  </si>
  <si>
    <t>abc</t>
    <phoneticPr fontId="1" type="noConversion"/>
  </si>
  <si>
    <t>Real rate of return</t>
    <phoneticPr fontId="1" type="noConversion"/>
  </si>
  <si>
    <t>Total risk</t>
    <phoneticPr fontId="1" type="noConversion"/>
  </si>
  <si>
    <t>Used To</t>
    <phoneticPr fontId="1" type="noConversion"/>
  </si>
  <si>
    <t>Year</t>
    <phoneticPr fontId="1" type="noConversion"/>
  </si>
  <si>
    <t>Balance + PMT</t>
    <phoneticPr fontId="1" type="noConversion"/>
  </si>
  <si>
    <t>Balance</t>
    <phoneticPr fontId="1" type="noConversion"/>
  </si>
  <si>
    <t>Interest</t>
    <phoneticPr fontId="1" type="noConversion"/>
  </si>
  <si>
    <t>Cumulated Amt</t>
    <phoneticPr fontId="1" type="noConversion"/>
  </si>
  <si>
    <t>M</t>
    <phoneticPr fontId="1" type="noConversion"/>
  </si>
  <si>
    <t>CB2022 Business Programming with Spreadsheet</t>
    <phoneticPr fontId="1" type="noConversion"/>
  </si>
  <si>
    <t>2016/17 Semester A</t>
    <phoneticPr fontId="1" type="noConversion"/>
  </si>
  <si>
    <t>Life Insurance Calculator</t>
    <phoneticPr fontId="1" type="noConversion"/>
  </si>
  <si>
    <t>Group Members</t>
    <phoneticPr fontId="1" type="noConversion"/>
  </si>
  <si>
    <t>Chan Cheuk Hei</t>
    <phoneticPr fontId="1" type="noConversion"/>
  </si>
  <si>
    <t>SID</t>
    <phoneticPr fontId="1" type="noConversion"/>
  </si>
  <si>
    <t>Lam Hue Tsui Jade</t>
    <phoneticPr fontId="1" type="noConversion"/>
  </si>
  <si>
    <t>Ngan Ka Chun Alan</t>
    <phoneticPr fontId="1" type="noConversion"/>
  </si>
  <si>
    <t>City University of Hong Kong</t>
    <phoneticPr fontId="1" type="noConversion"/>
  </si>
  <si>
    <t>Ben</t>
    <phoneticPr fontId="1" type="noConversion"/>
  </si>
  <si>
    <t>Paul</t>
    <phoneticPr fontId="1" type="noConversion"/>
  </si>
  <si>
    <t>Singh</t>
    <phoneticPr fontId="1" type="noConversion"/>
  </si>
  <si>
    <t>Mares</t>
    <phoneticPr fontId="1" type="noConversion"/>
  </si>
  <si>
    <t>91234567</t>
    <phoneticPr fontId="1" type="noConversion"/>
  </si>
  <si>
    <t>67891234</t>
    <phoneticPr fontId="1" type="noConversion"/>
  </si>
  <si>
    <t>benmares@gmail.com</t>
    <phoneticPr fontId="1" type="noConversion"/>
  </si>
  <si>
    <t>karenralls@hotmail.com</t>
    <phoneticPr fontId="1" type="noConversion"/>
  </si>
  <si>
    <t>paulsing@outllook.com</t>
    <phoneticPr fontId="1" type="noConversion"/>
  </si>
  <si>
    <t>Ralls</t>
    <phoneticPr fontId="1" type="noConversion"/>
  </si>
  <si>
    <t>Karen</t>
    <phoneticPr fontId="1" type="noConversion"/>
  </si>
  <si>
    <t>98765432</t>
    <phoneticPr fontId="1" type="noConversion"/>
  </si>
  <si>
    <t>F</t>
    <phoneticPr fontId="1" type="noConversion"/>
  </si>
  <si>
    <t>Used To</t>
    <phoneticPr fontId="1" type="noConversion"/>
  </si>
  <si>
    <t>5. Do not transfer this workbook to third parties.</t>
    <phoneticPr fontId="1" type="noConversion"/>
  </si>
  <si>
    <t>2. Only the workbook owner could access the application.</t>
    <phoneticPr fontId="1" type="noConversion"/>
  </si>
  <si>
    <t>3. This workbook need to be stored together with folder "Asset"</t>
    <phoneticPr fontId="1" type="noConversion"/>
  </si>
  <si>
    <t>4. It is not suggested to rename that folder, or errors would occur.</t>
    <phoneticPr fontId="1" type="noConversion"/>
  </si>
  <si>
    <t>1. The application would be run automatically.
    If not, please check the marco security options,
    and reopen this workbook. Or click the above button.</t>
    <phoneticPr fontId="1" type="noConversion"/>
  </si>
  <si>
    <t>*Notes to user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</si>
</sst>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8" formatCode="&quot;HK$&quot;#,##0.00_);[Red]\(&quot;HK$&quot;#,##0.00\)"/>
    <numFmt numFmtId="43" formatCode="_(* #,##0.00_);_(* \(#,##0.00\);_(* &quot;-&quot;??_);_(@_)"/>
    <numFmt numFmtId="176" formatCode="yyyy\-mm\-dd"/>
    <numFmt numFmtId="177" formatCode="hh:mm:ss"/>
    <numFmt numFmtId="178" formatCode="yyyy\-mm\-dd\ hh:mm:ss"/>
    <numFmt numFmtId="179" formatCode="_([$HK$-C04]* #,##0.00_);_([$HK$-C04]* \(#,##0.00\);_([$HK$-C04]* &quot;-&quot;??_);_(@_)"/>
    <numFmt numFmtId="180" formatCode="0.00_);[Red]\(0.00\)"/>
    <numFmt numFmtId="181" formatCode="0_);[Red]\(0\)"/>
    <numFmt numFmtId="182" formatCode="_-[$$-404]* #,##0.00_-;\-[$$-404]* #,##0.00_-;_-[$$-404]* &quot;-&quot;??_-;_-@_-"/>
  </numFmts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Berlin Sans FB"/>
      <family val="2"/>
    </font>
    <font>
      <sz val="12"/>
      <color theme="1"/>
      <name val="Berlin Sans FB"/>
      <family val="2"/>
    </font>
    <font>
      <b/>
      <sz val="9"/>
      <color indexed="81"/>
      <name val="Tahoma"/>
      <family val="2"/>
    </font>
    <font>
      <sz val="11"/>
      <color theme="1"/>
      <name val="Tahoma"/>
      <family val="2"/>
    </font>
    <font>
      <sz val="11"/>
      <color theme="1"/>
      <name val="新細明體"/>
      <family val="2"/>
      <scheme val="minor"/>
    </font>
    <font>
      <u/>
      <sz val="11"/>
      <color theme="10"/>
      <name val="新細明體"/>
      <family val="2"/>
      <scheme val="minor"/>
    </font>
    <font>
      <u/>
      <sz val="11"/>
      <color theme="10"/>
      <name val="Tahoma"/>
      <family val="2"/>
    </font>
    <font>
      <sz val="11"/>
      <color theme="0"/>
      <name val="Tahoma"/>
      <family val="2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b/>
      <u/>
      <sz val="12"/>
      <color theme="1"/>
      <name val="Tahoma"/>
      <family val="2"/>
    </font>
    <font>
      <u/>
      <sz val="12"/>
      <color theme="1"/>
      <name val="Tahoma"/>
      <family val="2"/>
    </font>
    <font>
      <sz val="14"/>
      <color rgb="FF000000"/>
      <name val="Tahoma"/>
      <family val="2"/>
    </font>
    <font>
      <b/>
      <u/>
      <sz val="11"/>
      <color theme="1"/>
      <name val="Tahoma"/>
      <family val="2"/>
    </font>
    <font>
      <sz val="10"/>
      <color theme="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</cellStyleXfs>
  <cellXfs count="108">
    <xf numFmtId="0" fontId="0" fillId="0" borderId="0" xfId="0"/>
    <xf numFmtId="0" fontId="2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horizontal="center"/>
    </xf>
    <xf numFmtId="176" fontId="2" fillId="0" borderId="0" xfId="0" applyNumberFormat="1" applyFont="1" applyAlignment="1">
      <alignment horizontal="right"/>
    </xf>
    <xf numFmtId="176" fontId="2" fillId="0" borderId="0" xfId="0" applyNumberFormat="1" applyFont="1"/>
    <xf numFmtId="177" fontId="2" fillId="0" borderId="0" xfId="0" applyNumberFormat="1" applyFont="1" applyAlignment="1">
      <alignment horizontal="center"/>
    </xf>
    <xf numFmtId="177" fontId="2" fillId="0" borderId="0" xfId="0" applyNumberFormat="1" applyFont="1" applyAlignment="1">
      <alignment horizontal="right"/>
    </xf>
    <xf numFmtId="177" fontId="2" fillId="0" borderId="0" xfId="0" applyNumberFormat="1" applyFont="1"/>
    <xf numFmtId="178" fontId="2" fillId="0" borderId="0" xfId="0" applyNumberFormat="1" applyFont="1" applyAlignment="1">
      <alignment horizontal="center"/>
    </xf>
    <xf numFmtId="178" fontId="2" fillId="0" borderId="0" xfId="0" applyNumberFormat="1" applyFont="1" applyAlignment="1">
      <alignment horizontal="right"/>
    </xf>
    <xf numFmtId="178" fontId="2" fillId="0" borderId="0" xfId="0" applyNumberFormat="1" applyFont="1"/>
    <xf numFmtId="0" fontId="5" fillId="0" borderId="0" xfId="0" applyFont="1"/>
    <xf numFmtId="8" fontId="5" fillId="0" borderId="0" xfId="0" applyNumberFormat="1" applyFont="1"/>
    <xf numFmtId="180" fontId="5" fillId="0" borderId="0" xfId="0" applyNumberFormat="1" applyFont="1"/>
    <xf numFmtId="181" fontId="5" fillId="0" borderId="0" xfId="0" applyNumberFormat="1" applyFont="1"/>
    <xf numFmtId="49" fontId="5" fillId="0" borderId="0" xfId="0" applyNumberFormat="1" applyFont="1"/>
    <xf numFmtId="178" fontId="5" fillId="0" borderId="0" xfId="0" applyNumberFormat="1" applyFont="1"/>
    <xf numFmtId="49" fontId="5" fillId="0" borderId="0" xfId="0" quotePrefix="1" applyNumberFormat="1" applyFont="1"/>
    <xf numFmtId="10" fontId="5" fillId="0" borderId="0" xfId="0" applyNumberFormat="1" applyFont="1"/>
    <xf numFmtId="0" fontId="5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179" fontId="5" fillId="0" borderId="0" xfId="0" applyNumberFormat="1" applyFo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79" fontId="5" fillId="0" borderId="0" xfId="0" applyNumberFormat="1" applyFont="1" applyAlignment="1">
      <alignment horizontal="right" vertical="center"/>
    </xf>
    <xf numFmtId="43" fontId="5" fillId="0" borderId="0" xfId="1" applyFont="1" applyAlignment="1">
      <alignment horizontal="left" vertical="center"/>
    </xf>
    <xf numFmtId="10" fontId="5" fillId="0" borderId="0" xfId="2" applyNumberFormat="1" applyFont="1" applyAlignment="1"/>
    <xf numFmtId="0" fontId="5" fillId="2" borderId="0" xfId="0" applyFont="1" applyFill="1"/>
    <xf numFmtId="0" fontId="5" fillId="2" borderId="0" xfId="0" applyFont="1" applyFill="1" applyAlignment="1">
      <alignment vertical="top" wrapText="1"/>
    </xf>
    <xf numFmtId="0" fontId="5" fillId="2" borderId="0" xfId="0" applyFont="1" applyFill="1" applyAlignment="1">
      <alignment horizontal="right"/>
    </xf>
    <xf numFmtId="0" fontId="8" fillId="0" borderId="0" xfId="3" applyFont="1" applyAlignment="1">
      <alignment horizontal="left" vertical="center"/>
    </xf>
    <xf numFmtId="178" fontId="5" fillId="0" borderId="0" xfId="0" applyNumberFormat="1" applyFont="1" applyAlignment="1">
      <alignment horizontal="left" vertical="center"/>
    </xf>
    <xf numFmtId="179" fontId="5" fillId="0" borderId="0" xfId="0" applyNumberFormat="1" applyFont="1" applyAlignment="1">
      <alignment vertical="top"/>
    </xf>
    <xf numFmtId="40" fontId="5" fillId="0" borderId="0" xfId="0" applyNumberFormat="1" applyFont="1"/>
    <xf numFmtId="0" fontId="9" fillId="0" borderId="0" xfId="0" applyFont="1" applyFill="1" applyAlignment="1">
      <alignment horizontal="left"/>
    </xf>
    <xf numFmtId="0" fontId="9" fillId="0" borderId="0" xfId="0" applyFont="1" applyFill="1" applyAlignment="1">
      <alignment horizontal="right"/>
    </xf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3" xfId="0" applyFont="1" applyFill="1" applyBorder="1"/>
    <xf numFmtId="10" fontId="5" fillId="0" borderId="4" xfId="2" applyNumberFormat="1" applyFont="1" applyBorder="1" applyAlignment="1"/>
    <xf numFmtId="179" fontId="5" fillId="0" borderId="4" xfId="0" applyNumberFormat="1" applyFont="1" applyBorder="1"/>
    <xf numFmtId="0" fontId="5" fillId="0" borderId="3" xfId="0" applyFont="1" applyBorder="1" applyAlignment="1">
      <alignment vertical="top"/>
    </xf>
    <xf numFmtId="0" fontId="5" fillId="0" borderId="4" xfId="0" applyFont="1" applyBorder="1" applyAlignment="1">
      <alignment vertical="top"/>
    </xf>
    <xf numFmtId="179" fontId="5" fillId="0" borderId="4" xfId="0" applyNumberFormat="1" applyFont="1" applyBorder="1" applyAlignment="1">
      <alignment vertical="top"/>
    </xf>
    <xf numFmtId="0" fontId="5" fillId="0" borderId="5" xfId="0" applyFont="1" applyBorder="1" applyAlignment="1">
      <alignment vertical="top"/>
    </xf>
    <xf numFmtId="179" fontId="5" fillId="0" borderId="6" xfId="0" applyNumberFormat="1" applyFont="1" applyBorder="1"/>
    <xf numFmtId="0" fontId="5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8" fillId="0" borderId="4" xfId="3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4" xfId="0" applyFont="1" applyBorder="1" applyAlignment="1">
      <alignment horizontal="right" vertical="center"/>
    </xf>
    <xf numFmtId="179" fontId="5" fillId="0" borderId="4" xfId="0" applyNumberFormat="1" applyFont="1" applyBorder="1" applyAlignment="1">
      <alignment horizontal="right" vertical="center"/>
    </xf>
    <xf numFmtId="43" fontId="5" fillId="0" borderId="6" xfId="1" applyFont="1" applyBorder="1" applyAlignment="1">
      <alignment horizontal="left" vertical="center"/>
    </xf>
    <xf numFmtId="0" fontId="5" fillId="0" borderId="6" xfId="0" applyFont="1" applyBorder="1" applyAlignment="1">
      <alignment horizontal="right" vertical="center"/>
    </xf>
    <xf numFmtId="178" fontId="5" fillId="0" borderId="4" xfId="0" applyNumberFormat="1" applyFont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top" wrapText="1"/>
    </xf>
    <xf numFmtId="0" fontId="5" fillId="3" borderId="3" xfId="0" applyFont="1" applyFill="1" applyBorder="1" applyAlignment="1">
      <alignment horizontal="left" vertical="top" wrapText="1"/>
    </xf>
    <xf numFmtId="0" fontId="5" fillId="0" borderId="5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left"/>
    </xf>
    <xf numFmtId="0" fontId="5" fillId="0" borderId="0" xfId="0" applyFont="1" applyFill="1" applyAlignment="1">
      <alignment horizontal="left" vertical="top" wrapText="1"/>
    </xf>
    <xf numFmtId="0" fontId="10" fillId="0" borderId="0" xfId="0" applyFont="1"/>
    <xf numFmtId="182" fontId="5" fillId="0" borderId="0" xfId="0" applyNumberFormat="1" applyFont="1"/>
    <xf numFmtId="0" fontId="15" fillId="0" borderId="0" xfId="0" applyFont="1" applyAlignment="1">
      <alignment horizontal="center"/>
    </xf>
    <xf numFmtId="49" fontId="7" fillId="0" borderId="0" xfId="3" quotePrefix="1" applyNumberFormat="1"/>
    <xf numFmtId="0" fontId="16" fillId="0" borderId="0" xfId="0" applyFont="1"/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0" fillId="0" borderId="8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5" fillId="11" borderId="3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 vertical="top" wrapText="1"/>
    </xf>
    <xf numFmtId="0" fontId="5" fillId="7" borderId="2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 vertical="top" wrapText="1"/>
    </xf>
    <xf numFmtId="0" fontId="5" fillId="8" borderId="2" xfId="0" applyFont="1" applyFill="1" applyBorder="1" applyAlignment="1">
      <alignment horizontal="center" vertical="top" wrapText="1"/>
    </xf>
    <xf numFmtId="0" fontId="5" fillId="9" borderId="3" xfId="0" applyFont="1" applyFill="1" applyBorder="1" applyAlignment="1">
      <alignment horizontal="center" vertical="top" wrapText="1"/>
    </xf>
    <xf numFmtId="0" fontId="5" fillId="9" borderId="4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horizontal="center" vertical="top" wrapText="1"/>
    </xf>
    <xf numFmtId="0" fontId="5" fillId="4" borderId="4" xfId="0" applyFont="1" applyFill="1" applyBorder="1" applyAlignment="1">
      <alignment horizontal="center" vertical="top" wrapText="1"/>
    </xf>
    <xf numFmtId="0" fontId="5" fillId="5" borderId="1" xfId="0" applyFont="1" applyFill="1" applyBorder="1" applyAlignment="1">
      <alignment horizontal="center" vertical="top" wrapText="1"/>
    </xf>
    <xf numFmtId="0" fontId="5" fillId="5" borderId="2" xfId="0" applyFont="1" applyFill="1" applyBorder="1" applyAlignment="1">
      <alignment horizontal="center" vertical="top" wrapText="1"/>
    </xf>
    <xf numFmtId="0" fontId="5" fillId="6" borderId="1" xfId="0" applyFont="1" applyFill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rlin Sans FB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numFmt numFmtId="177" formatCode="hh:mm:ss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numFmt numFmtId="176" formatCode="yyyy\-mm\-dd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numFmt numFmtId="178" formatCode="yyyy\-mm\-dd\ hh:mm:ss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erlin Sans FB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erlin Sans FB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0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2" formatCode="&quot;HK$&quot;#,##0.00_);[Red]\(&quot;HK$&quot;#,##0.0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vertAlign val="baseline"/>
        <sz val="1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78" formatCode="yyyy\-mm\-dd\ hh:mm:ss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  <numFmt numFmtId="181" formatCode="0_);[Red]\(0\)"/>
    </dxf>
    <dxf>
      <font>
        <strike val="0"/>
        <outline val="0"/>
        <shadow val="0"/>
        <u val="none"/>
        <vertAlign val="baseline"/>
        <sz val="11"/>
        <color theme="1"/>
        <name val="Tahoma"/>
        <family val="2"/>
        <scheme val="none"/>
      </font>
    </dxf>
    <dxf>
      <font>
        <strike val="0"/>
        <outline val="0"/>
        <shadow val="0"/>
        <vertAlign val="baseline"/>
        <sz val="1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Annuity</a:t>
            </a:r>
            <a:r>
              <a:rPr lang="en-US" baseline="0"/>
              <a:t> Table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'(Master)ViewQuoteTemplate'!$L$21</c:f>
              <c:strCache>
                <c:ptCount val="1"/>
                <c:pt idx="0">
                  <c:v>Cumulated Amt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'(Master)ViewQuoteTemplate'!$G$22:$G$58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</c:numCache>
            </c:numRef>
          </c:cat>
          <c:val>
            <c:numRef>
              <c:f>'(Master)ViewQuoteTemplate'!$L$22:$L$58</c:f>
              <c:numCache>
                <c:formatCode>#,##0.00_);[Red]\(#,##0.00\)</c:formatCode>
                <c:ptCount val="37"/>
                <c:pt idx="0">
                  <c:v>181761.14377350191</c:v>
                </c:pt>
                <c:pt idx="1">
                  <c:v>372610.34473567893</c:v>
                </c:pt>
                <c:pt idx="2">
                  <c:v>573002.00574596482</c:v>
                </c:pt>
                <c:pt idx="3">
                  <c:v>783413.24980676488</c:v>
                </c:pt>
                <c:pt idx="4">
                  <c:v>1004345.0560706051</c:v>
                </c:pt>
                <c:pt idx="5">
                  <c:v>1236323.4526476371</c:v>
                </c:pt>
                <c:pt idx="6">
                  <c:v>1479900.7690535209</c:v>
                </c:pt>
                <c:pt idx="7">
                  <c:v>1735656.9512796989</c:v>
                </c:pt>
                <c:pt idx="8">
                  <c:v>2004200.9426171856</c:v>
                </c:pt>
                <c:pt idx="9">
                  <c:v>2286172.1335215466</c:v>
                </c:pt>
                <c:pt idx="10">
                  <c:v>2582241.8839711258</c:v>
                </c:pt>
                <c:pt idx="11">
                  <c:v>2893115.1219431842</c:v>
                </c:pt>
                <c:pt idx="12">
                  <c:v>3219532.0218138453</c:v>
                </c:pt>
                <c:pt idx="13">
                  <c:v>3562269.7666780395</c:v>
                </c:pt>
                <c:pt idx="14">
                  <c:v>3922144.3987854435</c:v>
                </c:pt>
                <c:pt idx="15">
                  <c:v>4300012.7624982176</c:v>
                </c:pt>
                <c:pt idx="16">
                  <c:v>4696774.5443966305</c:v>
                </c:pt>
                <c:pt idx="17">
                  <c:v>5113374.4153899644</c:v>
                </c:pt>
                <c:pt idx="18">
                  <c:v>5550804.2799329646</c:v>
                </c:pt>
                <c:pt idx="19">
                  <c:v>6010105.6377031151</c:v>
                </c:pt>
                <c:pt idx="20">
                  <c:v>6492372.0633617733</c:v>
                </c:pt>
                <c:pt idx="21">
                  <c:v>6998751.8103033639</c:v>
                </c:pt>
                <c:pt idx="22">
                  <c:v>7530450.5445920341</c:v>
                </c:pt>
                <c:pt idx="23">
                  <c:v>8088734.2155951383</c:v>
                </c:pt>
                <c:pt idx="24">
                  <c:v>8674932.0701483972</c:v>
                </c:pt>
                <c:pt idx="25">
                  <c:v>9290439.817429319</c:v>
                </c:pt>
                <c:pt idx="26">
                  <c:v>9936722.9520742875</c:v>
                </c:pt>
                <c:pt idx="27">
                  <c:v>10615320.243451504</c:v>
                </c:pt>
                <c:pt idx="28">
                  <c:v>11327847.399397582</c:v>
                </c:pt>
                <c:pt idx="29">
                  <c:v>12076000.913140964</c:v>
                </c:pt>
                <c:pt idx="30">
                  <c:v>12861562.102571514</c:v>
                </c:pt>
                <c:pt idx="31">
                  <c:v>13686401.351473592</c:v>
                </c:pt>
                <c:pt idx="32">
                  <c:v>14552482.562820774</c:v>
                </c:pt>
                <c:pt idx="33">
                  <c:v>15461867.834735315</c:v>
                </c:pt>
                <c:pt idx="34">
                  <c:v>16416722.370245583</c:v>
                </c:pt>
                <c:pt idx="35">
                  <c:v>17419319.632531364</c:v>
                </c:pt>
                <c:pt idx="36">
                  <c:v>18472046.757931434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C-414F-A9D2-CD42F367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750176"/>
        <c:axId val="583755584"/>
      </c:lineChart>
      <c:catAx>
        <c:axId val="58375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5584"/>
        <c:crosses val="autoZero"/>
        <c:auto val="1"/>
        <c:lblAlgn val="ctr"/>
        <c:lblOffset val="100"/>
        <c:noMultiLvlLbl val="0"/>
      </c:catAx>
      <c:valAx>
        <c:axId val="58375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Annuity</a:t>
            </a:r>
            <a:r>
              <a:rPr lang="en-US" baseline="0"/>
              <a:t> Table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ViewQuote!$L$21</c:f>
              <c:strCache>
                <c:ptCount val="1"/>
                <c:pt idx="0">
                  <c:v>Cumulated Amt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ViewQuote!$G$22:$G$58</c:f>
              <c:numCache>
                <c:formatCode>General</c:formatCode>
                <c:ptCount val="37"/>
                <c:pt idx="0">
                  <c:v>1</c:v>
                </c:pt>
                <c:pt idx="1">
                  <c:v>2</c:v>
                </c:pt>
              </c:numCache>
            </c:numRef>
          </c:cat>
          <c:val>
            <c:numRef>
              <c:f>ViewQuote!$L$22:$L$58</c:f>
              <c:numCache>
                <c:formatCode>_-[$$-404]* #,##0.00_-;\-[$$-404]* #,##0.00_-;_-[$$-404]* "-"??_-;_-@_-</c:formatCode>
                <c:ptCount val="37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02-4E0C-AA74-5BD6E4FB3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750176"/>
        <c:axId val="583755584"/>
      </c:lineChart>
      <c:catAx>
        <c:axId val="58375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5584"/>
        <c:crosses val="autoZero"/>
        <c:auto val="1"/>
        <c:lblAlgn val="ctr"/>
        <c:lblOffset val="100"/>
        <c:noMultiLvlLbl val="0"/>
      </c:catAx>
      <c:valAx>
        <c:axId val="58375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4]* #,##0.00_-;\-[$$-404]* #,##0.00_-;_-[$$-404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58375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51708</xdr:colOff>
      <xdr:row>0</xdr:row>
      <xdr:rowOff>24492</xdr:rowOff>
    </xdr:from>
    <xdr:to>
      <xdr:col>11</xdr:col>
      <xdr:colOff>1050471</xdr:colOff>
      <xdr:row>19</xdr:row>
      <xdr:rowOff>163285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54429</xdr:colOff>
          <xdr:row>13</xdr:row>
          <xdr:rowOff>16329</xdr:rowOff>
        </xdr:from>
        <xdr:to>
          <xdr:col>6</xdr:col>
          <xdr:colOff>555171</xdr:colOff>
          <xdr:row>15</xdr:row>
          <xdr:rowOff>168729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51708</xdr:colOff>
      <xdr:row>0</xdr:row>
      <xdr:rowOff>24492</xdr:rowOff>
    </xdr:from>
    <xdr:to>
      <xdr:col>11</xdr:col>
      <xdr:colOff>1050471</xdr:colOff>
      <xdr:row>19</xdr:row>
      <xdr:rowOff>163285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QuoteTable" displayName="QuoteTable" ref="A1:V4" totalsRowShown="0" headerRowDxfId="47" dataDxfId="46">
  <autoFilter ref="A1:V4"/>
  <tableColumns count="22">
    <tableColumn id="1" name="QuoteID" dataDxfId="45"/>
    <tableColumn id="2" name="LastModified" dataDxfId="44"/>
    <tableColumn id="3" name="LastName" dataDxfId="43"/>
    <tableColumn id="4" name="FirstName" dataDxfId="42"/>
    <tableColumn id="5" name="Email" dataDxfId="41"/>
    <tableColumn id="20" name="Mobile" dataDxfId="40"/>
    <tableColumn id="6" name="Gender" dataDxfId="39"/>
    <tableColumn id="7" name="YOB" dataDxfId="38"/>
    <tableColumn id="8" name="MonthlyExp" dataDxfId="37"/>
    <tableColumn id="9" name="ChildEduExp" dataDxfId="36"/>
    <tableColumn id="10" name="RetireYear" dataDxfId="35"/>
    <tableColumn id="11" name="FinalExp" dataDxfId="34"/>
    <tableColumn id="12" name="ExpCompleteYear" dataDxfId="33"/>
    <tableColumn id="13" name="LifeInsCoverage" dataDxfId="32"/>
    <tableColumn id="14" name="LiqAsset" dataDxfId="31"/>
    <tableColumn id="15" name="Saving" dataDxfId="30"/>
    <tableColumn id="16" name="Liability" dataDxfId="29"/>
    <tableColumn id="17" name="Occupation" dataDxfId="28"/>
    <tableColumn id="18" name="Smoke" dataDxfId="27"/>
    <tableColumn id="19" name="SmokeYear" dataDxfId="26"/>
    <tableColumn id="21" name="expIntRate" dataDxfId="25"/>
    <tableColumn id="22" name="expInfRate" dataDxfId="2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3" name="OccupationTable" displayName="OccupationTable" ref="A1:C12" totalsRowShown="0" headerRowDxfId="23" dataDxfId="22">
  <autoFilter ref="A1:C12"/>
  <tableColumns count="3">
    <tableColumn id="1" name="TypeID" dataDxfId="21"/>
    <tableColumn id="2" name="Sector" dataDxfId="20"/>
    <tableColumn id="3" name="Risk to death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LifeTable" displayName="LifeTable" ref="A1:C102" totalsRowShown="0" headerRowDxfId="18" dataDxfId="17">
  <autoFilter ref="A1:C102"/>
  <tableColumns count="3">
    <tableColumn id="1" name="Age" dataDxfId="16"/>
    <tableColumn id="2" name="MaleExpectationOfLife" dataDxfId="15"/>
    <tableColumn id="3" name="FemaleExpectationOfLife" dataDxfId="14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1" name="StaffLoginInfo" displayName="StaffLoginInfo" ref="A1:H3" totalsRowShown="0" headerRowDxfId="13" dataDxfId="12">
  <autoFilter ref="A1:H3"/>
  <tableColumns count="8">
    <tableColumn id="1" name="EmpID" dataDxfId="11"/>
    <tableColumn id="2" name="UserName" dataDxfId="10"/>
    <tableColumn id="3" name="Password" dataDxfId="9"/>
    <tableColumn id="8" name="AccessLevel" dataDxfId="8"/>
    <tableColumn id="4" name="Name" dataDxfId="7"/>
    <tableColumn id="6" name="LastLogin" dataDxfId="6"/>
    <tableColumn id="7" name="LastLoginDate" dataDxfId="5">
      <calculatedColumnFormula>INT(F2)</calculatedColumnFormula>
    </tableColumn>
    <tableColumn id="9" name="LastLoginTime" dataDxfId="4">
      <calculatedColumnFormula>F2-G2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ConfigTable" displayName="ConfigTable" ref="A1:B13" totalsRowShown="0" headerRowDxfId="3" dataDxfId="2">
  <autoFilter ref="A1:B13"/>
  <tableColumns count="2">
    <tableColumn id="1" name="Item" dataDxfId="1"/>
    <tableColumn id="2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aulsing@outllok.com" TargetMode="External"/><Relationship Id="rId2" Type="http://schemas.openxmlformats.org/officeDocument/2006/relationships/hyperlink" Target="mailto:karenralls@hotmail.com" TargetMode="External"/><Relationship Id="rId1" Type="http://schemas.openxmlformats.org/officeDocument/2006/relationships/hyperlink" Target="mailto:benmares@gmail.com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8"/>
  <sheetViews>
    <sheetView zoomScaleNormal="100" workbookViewId="0">
      <selection activeCell="G23" sqref="G23"/>
    </sheetView>
  </sheetViews>
  <sheetFormatPr defaultRowHeight="13.75" x14ac:dyDescent="0.3"/>
  <cols>
    <col min="1" max="1" width="26.5" style="24" customWidth="1"/>
    <col min="2" max="2" width="24.25" style="31" customWidth="1"/>
    <col min="3" max="3" width="3.33203125" style="28" customWidth="1"/>
    <col min="4" max="4" width="27.5" style="16" bestFit="1" customWidth="1"/>
    <col min="5" max="5" width="20.08203125" style="16" customWidth="1"/>
    <col min="6" max="6" width="1.5" style="16" customWidth="1"/>
    <col min="7" max="7" width="8.6640625" style="16"/>
    <col min="8" max="10" width="18.1640625" style="16" bestFit="1" customWidth="1"/>
    <col min="11" max="11" width="18.1640625" style="16" customWidth="1"/>
    <col min="12" max="12" width="18.1640625" style="16" bestFit="1" customWidth="1"/>
    <col min="13" max="16384" width="8.6640625" style="16"/>
  </cols>
  <sheetData>
    <row r="1" spans="1:5" x14ac:dyDescent="0.3">
      <c r="A1" s="36" t="s">
        <v>55</v>
      </c>
      <c r="B1" s="30">
        <v>50</v>
      </c>
      <c r="C1" s="27"/>
      <c r="D1" s="16" t="s">
        <v>98</v>
      </c>
    </row>
    <row r="2" spans="1:5" x14ac:dyDescent="0.3">
      <c r="A2" s="36" t="s">
        <v>81</v>
      </c>
      <c r="B2" s="39">
        <v>42697.125347800924</v>
      </c>
      <c r="C2" s="27"/>
      <c r="D2" s="35" t="s">
        <v>99</v>
      </c>
      <c r="E2" s="34">
        <v>0.05</v>
      </c>
    </row>
    <row r="3" spans="1:5" x14ac:dyDescent="0.3">
      <c r="B3" s="30"/>
      <c r="C3" s="27"/>
      <c r="D3" s="35" t="s">
        <v>100</v>
      </c>
      <c r="E3" s="34">
        <v>0.03</v>
      </c>
    </row>
    <row r="4" spans="1:5" x14ac:dyDescent="0.3">
      <c r="A4" s="24" t="s">
        <v>119</v>
      </c>
      <c r="B4" s="30"/>
      <c r="C4" s="27"/>
      <c r="D4" s="16" t="s">
        <v>123</v>
      </c>
      <c r="E4" s="34">
        <f xml:space="preserve"> ( (1+E2)/(1+E3) )^(1/12) -1</f>
        <v>1.6038983652886252E-3</v>
      </c>
    </row>
    <row r="5" spans="1:5" x14ac:dyDescent="0.3">
      <c r="A5" s="36" t="s">
        <v>27</v>
      </c>
      <c r="B5" s="30" t="s">
        <v>122</v>
      </c>
      <c r="C5" s="27"/>
    </row>
    <row r="6" spans="1:5" x14ac:dyDescent="0.3">
      <c r="A6" s="36" t="s">
        <v>82</v>
      </c>
      <c r="B6" s="38" t="s">
        <v>121</v>
      </c>
      <c r="C6" s="27"/>
      <c r="D6" s="16" t="s">
        <v>101</v>
      </c>
    </row>
    <row r="7" spans="1:5" x14ac:dyDescent="0.3">
      <c r="A7" s="36" t="s">
        <v>65</v>
      </c>
      <c r="B7" s="30">
        <v>67891234</v>
      </c>
      <c r="C7" s="27"/>
      <c r="D7" s="16" t="s">
        <v>102</v>
      </c>
      <c r="E7" s="16">
        <f ca="1">E8+B12</f>
        <v>81.72999999999999</v>
      </c>
    </row>
    <row r="8" spans="1:5" x14ac:dyDescent="0.3">
      <c r="D8" s="16" t="s">
        <v>103</v>
      </c>
      <c r="E8" s="16">
        <f ca="1">VLOOKUP(B12,LifeTable[#All],'(Master)ViewQuoteTemplate'!C10,FALSE)</f>
        <v>58.73</v>
      </c>
    </row>
    <row r="9" spans="1:5" x14ac:dyDescent="0.3">
      <c r="A9" s="24" t="s">
        <v>120</v>
      </c>
      <c r="D9" s="16" t="s">
        <v>104</v>
      </c>
      <c r="E9" s="16">
        <f ca="1">B19-B12</f>
        <v>42</v>
      </c>
    </row>
    <row r="10" spans="1:5" x14ac:dyDescent="0.3">
      <c r="A10" s="36" t="s">
        <v>83</v>
      </c>
      <c r="B10" s="31" t="s">
        <v>131</v>
      </c>
      <c r="C10" s="37">
        <f>IF(B10="M",2,3)</f>
        <v>2</v>
      </c>
      <c r="D10" s="16" t="s">
        <v>105</v>
      </c>
      <c r="E10" s="16">
        <f ca="1">IF( B20 &gt;B12, B20 - B12, "")</f>
        <v>37</v>
      </c>
    </row>
    <row r="11" spans="1:5" x14ac:dyDescent="0.3">
      <c r="A11" s="36" t="s">
        <v>84</v>
      </c>
      <c r="B11" s="31">
        <v>1993</v>
      </c>
      <c r="D11" s="16" t="s">
        <v>106</v>
      </c>
      <c r="E11" s="16">
        <f ca="1">MIN(E9:E10)</f>
        <v>37</v>
      </c>
    </row>
    <row r="12" spans="1:5" x14ac:dyDescent="0.3">
      <c r="A12" s="24" t="s">
        <v>85</v>
      </c>
      <c r="B12" s="31">
        <f ca="1">YEAR(NOW())-YOB</f>
        <v>23</v>
      </c>
    </row>
    <row r="13" spans="1:5" x14ac:dyDescent="0.3">
      <c r="D13" s="16" t="s">
        <v>107</v>
      </c>
      <c r="E13" s="29">
        <f ca="1" xml:space="preserve"> PV(E4, E8*12, -B15, 0, 1) + B27 + B16 + B21</f>
        <v>5594364.3766935337</v>
      </c>
    </row>
    <row r="14" spans="1:5" x14ac:dyDescent="0.3">
      <c r="A14" s="24" t="s">
        <v>86</v>
      </c>
      <c r="D14" s="16" t="s">
        <v>115</v>
      </c>
      <c r="E14" s="16">
        <f>VLOOKUP(C30, OccupationTable[], 3, FALSE)</f>
        <v>0.09</v>
      </c>
    </row>
    <row r="15" spans="1:5" x14ac:dyDescent="0.3">
      <c r="A15" s="36" t="s">
        <v>87</v>
      </c>
      <c r="B15" s="32">
        <v>13000</v>
      </c>
      <c r="D15" s="16" t="s">
        <v>116</v>
      </c>
      <c r="E15" s="16">
        <f>IF(B31="No", 0, IF(B31="Yes", 0.1 * B32/5, 0.07 * B32/5))</f>
        <v>4.2000000000000003E-2</v>
      </c>
    </row>
    <row r="16" spans="1:5" ht="27.45" x14ac:dyDescent="0.3">
      <c r="A16" s="36" t="s">
        <v>88</v>
      </c>
      <c r="B16" s="32"/>
      <c r="D16" s="25" t="s">
        <v>124</v>
      </c>
      <c r="E16" s="25">
        <f>SUM(E14:E15) + 1</f>
        <v>1.1320000000000001</v>
      </c>
    </row>
    <row r="17" spans="1:12" x14ac:dyDescent="0.3">
      <c r="E17" s="29"/>
    </row>
    <row r="18" spans="1:12" x14ac:dyDescent="0.3">
      <c r="A18" s="24" t="s">
        <v>89</v>
      </c>
      <c r="D18" s="25" t="s">
        <v>108</v>
      </c>
      <c r="E18" s="29">
        <f ca="1">E13*E16</f>
        <v>6332820.4744170811</v>
      </c>
    </row>
    <row r="19" spans="1:12" x14ac:dyDescent="0.3">
      <c r="A19" s="36" t="s">
        <v>90</v>
      </c>
      <c r="B19" s="31">
        <v>65</v>
      </c>
      <c r="D19" s="25" t="s">
        <v>109</v>
      </c>
      <c r="E19" s="29">
        <f>SUM(B24:B26)</f>
        <v>145000</v>
      </c>
    </row>
    <row r="20" spans="1:12" ht="27.45" x14ac:dyDescent="0.3">
      <c r="A20" s="36" t="s">
        <v>91</v>
      </c>
      <c r="B20" s="31">
        <v>60</v>
      </c>
      <c r="D20" s="25" t="s">
        <v>110</v>
      </c>
      <c r="E20" s="40">
        <f ca="1">IF(E18 &gt; E19, E18-E19, 0)</f>
        <v>6187820.4744170811</v>
      </c>
    </row>
    <row r="21" spans="1:12" x14ac:dyDescent="0.3">
      <c r="A21" s="36" t="s">
        <v>92</v>
      </c>
      <c r="B21" s="32">
        <v>100000</v>
      </c>
      <c r="D21" s="25" t="s">
        <v>111</v>
      </c>
      <c r="E21" s="29">
        <f ca="1">E20 * (1 + E3) ^ E11</f>
        <v>18472046.757931437</v>
      </c>
      <c r="G21" s="26" t="s">
        <v>126</v>
      </c>
      <c r="H21" s="26" t="s">
        <v>128</v>
      </c>
      <c r="I21" s="26" t="s">
        <v>54</v>
      </c>
      <c r="J21" s="26" t="s">
        <v>127</v>
      </c>
      <c r="K21" s="26" t="s">
        <v>129</v>
      </c>
      <c r="L21" s="26" t="s">
        <v>130</v>
      </c>
    </row>
    <row r="22" spans="1:12" x14ac:dyDescent="0.3">
      <c r="D22" s="25" t="s">
        <v>112</v>
      </c>
      <c r="E22" s="29">
        <f ca="1">PMT(E2, E11, 0, -E21, 1)</f>
        <v>173105.85121285898</v>
      </c>
      <c r="G22" s="16">
        <v>1</v>
      </c>
      <c r="H22" s="41">
        <v>0</v>
      </c>
      <c r="I22" s="41">
        <f ca="1">$E$22</f>
        <v>173105.85121285898</v>
      </c>
      <c r="J22" s="41">
        <f ca="1">H22+I22</f>
        <v>173105.85121285898</v>
      </c>
      <c r="K22" s="41">
        <f ca="1">J22*$E$2</f>
        <v>8655.292560642949</v>
      </c>
      <c r="L22" s="41">
        <f ca="1">J22+K22</f>
        <v>181761.14377350191</v>
      </c>
    </row>
    <row r="23" spans="1:12" x14ac:dyDescent="0.3">
      <c r="A23" s="24" t="s">
        <v>93</v>
      </c>
      <c r="D23" s="25" t="s">
        <v>113</v>
      </c>
      <c r="E23" s="29">
        <f ca="1">E22/12</f>
        <v>14425.487601071582</v>
      </c>
      <c r="G23" s="16">
        <v>2</v>
      </c>
      <c r="H23" s="41">
        <f ca="1">L22</f>
        <v>181761.14377350191</v>
      </c>
      <c r="I23" s="41">
        <f ca="1">$E$22</f>
        <v>173105.85121285898</v>
      </c>
      <c r="J23" s="41">
        <f t="shared" ref="J23:J58" ca="1" si="0">H23+I23</f>
        <v>354866.99498636089</v>
      </c>
      <c r="K23" s="41">
        <f t="shared" ref="K23:K58" ca="1" si="1">J23*$E$2</f>
        <v>17743.349749318044</v>
      </c>
      <c r="L23" s="41">
        <f t="shared" ref="L23:L58" ca="1" si="2">J23+K23</f>
        <v>372610.34473567893</v>
      </c>
    </row>
    <row r="24" spans="1:12" x14ac:dyDescent="0.3">
      <c r="A24" s="36" t="s">
        <v>94</v>
      </c>
      <c r="B24" s="32">
        <v>100000</v>
      </c>
      <c r="G24" s="16">
        <v>3</v>
      </c>
      <c r="H24" s="41">
        <f t="shared" ref="H24:H58" ca="1" si="3">L23</f>
        <v>372610.34473567893</v>
      </c>
      <c r="I24" s="41">
        <f t="shared" ref="I24:I58" ca="1" si="4">$E$22</f>
        <v>173105.85121285898</v>
      </c>
      <c r="J24" s="41">
        <f t="shared" ca="1" si="0"/>
        <v>545716.1959485379</v>
      </c>
      <c r="K24" s="41">
        <f t="shared" ca="1" si="1"/>
        <v>27285.809797426897</v>
      </c>
      <c r="L24" s="41">
        <f t="shared" ca="1" si="2"/>
        <v>573002.00574596482</v>
      </c>
    </row>
    <row r="25" spans="1:12" x14ac:dyDescent="0.3">
      <c r="A25" s="36" t="s">
        <v>95</v>
      </c>
      <c r="B25" s="32">
        <v>15000</v>
      </c>
      <c r="G25" s="16">
        <v>4</v>
      </c>
      <c r="H25" s="41">
        <f t="shared" ca="1" si="3"/>
        <v>573002.00574596482</v>
      </c>
      <c r="I25" s="41">
        <f t="shared" ca="1" si="4"/>
        <v>173105.85121285898</v>
      </c>
      <c r="J25" s="41">
        <f t="shared" ca="1" si="0"/>
        <v>746107.85695882374</v>
      </c>
      <c r="K25" s="41">
        <f t="shared" ca="1" si="1"/>
        <v>37305.392847941192</v>
      </c>
      <c r="L25" s="41">
        <f t="shared" ca="1" si="2"/>
        <v>783413.24980676488</v>
      </c>
    </row>
    <row r="26" spans="1:12" x14ac:dyDescent="0.3">
      <c r="A26" s="35" t="s">
        <v>97</v>
      </c>
      <c r="B26" s="32">
        <v>30000</v>
      </c>
      <c r="G26" s="16">
        <v>5</v>
      </c>
      <c r="H26" s="41">
        <f t="shared" ca="1" si="3"/>
        <v>783413.24980676488</v>
      </c>
      <c r="I26" s="41">
        <f t="shared" ca="1" si="4"/>
        <v>173105.85121285898</v>
      </c>
      <c r="J26" s="41">
        <f t="shared" ca="1" si="0"/>
        <v>956519.10101962392</v>
      </c>
      <c r="K26" s="41">
        <f t="shared" ca="1" si="1"/>
        <v>47825.955050981196</v>
      </c>
      <c r="L26" s="41">
        <f t="shared" ca="1" si="2"/>
        <v>1004345.0560706051</v>
      </c>
    </row>
    <row r="27" spans="1:12" x14ac:dyDescent="0.3">
      <c r="A27" s="35" t="s">
        <v>96</v>
      </c>
      <c r="B27" s="32">
        <v>0</v>
      </c>
      <c r="G27" s="16">
        <v>6</v>
      </c>
      <c r="H27" s="41">
        <f t="shared" ca="1" si="3"/>
        <v>1004345.0560706051</v>
      </c>
      <c r="I27" s="41">
        <f t="shared" ca="1" si="4"/>
        <v>173105.85121285898</v>
      </c>
      <c r="J27" s="41">
        <f t="shared" ca="1" si="0"/>
        <v>1177450.907283464</v>
      </c>
      <c r="K27" s="41">
        <f t="shared" ca="1" si="1"/>
        <v>58872.545364173202</v>
      </c>
      <c r="L27" s="41">
        <f t="shared" ca="1" si="2"/>
        <v>1236323.4526476371</v>
      </c>
    </row>
    <row r="28" spans="1:12" x14ac:dyDescent="0.3">
      <c r="G28" s="16">
        <v>7</v>
      </c>
      <c r="H28" s="41">
        <f t="shared" ca="1" si="3"/>
        <v>1236323.4526476371</v>
      </c>
      <c r="I28" s="41">
        <f t="shared" ca="1" si="4"/>
        <v>173105.85121285898</v>
      </c>
      <c r="J28" s="41">
        <f t="shared" ca="1" si="0"/>
        <v>1409429.303860496</v>
      </c>
      <c r="K28" s="41">
        <f t="shared" ca="1" si="1"/>
        <v>70471.465193024807</v>
      </c>
      <c r="L28" s="41">
        <f t="shared" ca="1" si="2"/>
        <v>1479900.7690535209</v>
      </c>
    </row>
    <row r="29" spans="1:12" x14ac:dyDescent="0.3">
      <c r="A29" s="24" t="s">
        <v>114</v>
      </c>
      <c r="G29" s="16">
        <v>8</v>
      </c>
      <c r="H29" s="41">
        <f t="shared" ca="1" si="3"/>
        <v>1479900.7690535209</v>
      </c>
      <c r="I29" s="41">
        <f t="shared" ca="1" si="4"/>
        <v>173105.85121285898</v>
      </c>
      <c r="J29" s="41">
        <f t="shared" ca="1" si="0"/>
        <v>1653006.6202663798</v>
      </c>
      <c r="K29" s="41">
        <f t="shared" ca="1" si="1"/>
        <v>82650.331013318995</v>
      </c>
      <c r="L29" s="41">
        <f t="shared" ca="1" si="2"/>
        <v>1735656.9512796989</v>
      </c>
    </row>
    <row r="30" spans="1:12" x14ac:dyDescent="0.3">
      <c r="A30" s="24" t="s">
        <v>62</v>
      </c>
      <c r="B30" s="30" t="str">
        <f>VLOOKUP(C30,OccupationTable[#All],2,FALSE)</f>
        <v>Hotels and restaurants</v>
      </c>
      <c r="C30" s="37">
        <v>10</v>
      </c>
      <c r="G30" s="16">
        <v>9</v>
      </c>
      <c r="H30" s="41">
        <f t="shared" ca="1" si="3"/>
        <v>1735656.9512796989</v>
      </c>
      <c r="I30" s="41">
        <f t="shared" ca="1" si="4"/>
        <v>173105.85121285898</v>
      </c>
      <c r="J30" s="41">
        <f t="shared" ca="1" si="0"/>
        <v>1908762.8024925578</v>
      </c>
      <c r="K30" s="41">
        <f t="shared" ca="1" si="1"/>
        <v>95438.140124627898</v>
      </c>
      <c r="L30" s="41">
        <f t="shared" ca="1" si="2"/>
        <v>2004200.9426171856</v>
      </c>
    </row>
    <row r="31" spans="1:12" x14ac:dyDescent="0.3">
      <c r="A31" s="36" t="s">
        <v>117</v>
      </c>
      <c r="B31" s="30" t="s">
        <v>125</v>
      </c>
      <c r="G31" s="16">
        <v>10</v>
      </c>
      <c r="H31" s="41">
        <f t="shared" ca="1" si="3"/>
        <v>2004200.9426171856</v>
      </c>
      <c r="I31" s="41">
        <f t="shared" ca="1" si="4"/>
        <v>173105.85121285898</v>
      </c>
      <c r="J31" s="41">
        <f t="shared" ca="1" si="0"/>
        <v>2177306.7938300446</v>
      </c>
      <c r="K31" s="41">
        <f t="shared" ca="1" si="1"/>
        <v>108865.33969150223</v>
      </c>
      <c r="L31" s="41">
        <f t="shared" ca="1" si="2"/>
        <v>2286172.1335215466</v>
      </c>
    </row>
    <row r="32" spans="1:12" x14ac:dyDescent="0.3">
      <c r="A32" s="36" t="s">
        <v>118</v>
      </c>
      <c r="B32" s="33">
        <v>3</v>
      </c>
      <c r="G32" s="16">
        <v>11</v>
      </c>
      <c r="H32" s="41">
        <f t="shared" ca="1" si="3"/>
        <v>2286172.1335215466</v>
      </c>
      <c r="I32" s="41">
        <f t="shared" ca="1" si="4"/>
        <v>173105.85121285898</v>
      </c>
      <c r="J32" s="41">
        <f t="shared" ca="1" si="0"/>
        <v>2459277.9847344058</v>
      </c>
      <c r="K32" s="41">
        <f t="shared" ca="1" si="1"/>
        <v>122963.89923672029</v>
      </c>
      <c r="L32" s="41">
        <f t="shared" ca="1" si="2"/>
        <v>2582241.8839711258</v>
      </c>
    </row>
    <row r="33" spans="2:12" x14ac:dyDescent="0.3">
      <c r="B33" s="30"/>
      <c r="G33" s="16">
        <v>12</v>
      </c>
      <c r="H33" s="41">
        <f t="shared" ca="1" si="3"/>
        <v>2582241.8839711258</v>
      </c>
      <c r="I33" s="41">
        <f t="shared" ca="1" si="4"/>
        <v>173105.85121285898</v>
      </c>
      <c r="J33" s="41">
        <f t="shared" ca="1" si="0"/>
        <v>2755347.735183985</v>
      </c>
      <c r="K33" s="41">
        <f t="shared" ca="1" si="1"/>
        <v>137767.38675919926</v>
      </c>
      <c r="L33" s="41">
        <f t="shared" ca="1" si="2"/>
        <v>2893115.1219431842</v>
      </c>
    </row>
    <row r="34" spans="2:12" x14ac:dyDescent="0.3">
      <c r="G34" s="16">
        <v>13</v>
      </c>
      <c r="H34" s="41">
        <f t="shared" ca="1" si="3"/>
        <v>2893115.1219431842</v>
      </c>
      <c r="I34" s="41">
        <f t="shared" ca="1" si="4"/>
        <v>173105.85121285898</v>
      </c>
      <c r="J34" s="41">
        <f t="shared" ca="1" si="0"/>
        <v>3066220.9731560433</v>
      </c>
      <c r="K34" s="41">
        <f t="shared" ca="1" si="1"/>
        <v>153311.04865780217</v>
      </c>
      <c r="L34" s="41">
        <f t="shared" ca="1" si="2"/>
        <v>3219532.0218138453</v>
      </c>
    </row>
    <row r="35" spans="2:12" x14ac:dyDescent="0.3">
      <c r="G35" s="16">
        <v>14</v>
      </c>
      <c r="H35" s="41">
        <f t="shared" ca="1" si="3"/>
        <v>3219532.0218138453</v>
      </c>
      <c r="I35" s="41">
        <f t="shared" ca="1" si="4"/>
        <v>173105.85121285898</v>
      </c>
      <c r="J35" s="41">
        <f t="shared" ca="1" si="0"/>
        <v>3392637.8730267044</v>
      </c>
      <c r="K35" s="41">
        <f t="shared" ca="1" si="1"/>
        <v>169631.89365133524</v>
      </c>
      <c r="L35" s="41">
        <f t="shared" ca="1" si="2"/>
        <v>3562269.7666780395</v>
      </c>
    </row>
    <row r="36" spans="2:12" x14ac:dyDescent="0.3">
      <c r="G36" s="16">
        <v>15</v>
      </c>
      <c r="H36" s="41">
        <f t="shared" ca="1" si="3"/>
        <v>3562269.7666780395</v>
      </c>
      <c r="I36" s="41">
        <f t="shared" ca="1" si="4"/>
        <v>173105.85121285898</v>
      </c>
      <c r="J36" s="41">
        <f t="shared" ca="1" si="0"/>
        <v>3735375.6178908986</v>
      </c>
      <c r="K36" s="41">
        <f t="shared" ca="1" si="1"/>
        <v>186768.78089454494</v>
      </c>
      <c r="L36" s="41">
        <f t="shared" ca="1" si="2"/>
        <v>3922144.3987854435</v>
      </c>
    </row>
    <row r="37" spans="2:12" x14ac:dyDescent="0.3">
      <c r="G37" s="16">
        <v>16</v>
      </c>
      <c r="H37" s="41">
        <f t="shared" ca="1" si="3"/>
        <v>3922144.3987854435</v>
      </c>
      <c r="I37" s="41">
        <f t="shared" ca="1" si="4"/>
        <v>173105.85121285898</v>
      </c>
      <c r="J37" s="41">
        <f t="shared" ca="1" si="0"/>
        <v>4095250.2499983027</v>
      </c>
      <c r="K37" s="41">
        <f t="shared" ca="1" si="1"/>
        <v>204762.51249991514</v>
      </c>
      <c r="L37" s="41">
        <f t="shared" ca="1" si="2"/>
        <v>4300012.7624982176</v>
      </c>
    </row>
    <row r="38" spans="2:12" x14ac:dyDescent="0.3">
      <c r="G38" s="16">
        <v>17</v>
      </c>
      <c r="H38" s="41">
        <f t="shared" ca="1" si="3"/>
        <v>4300012.7624982176</v>
      </c>
      <c r="I38" s="41">
        <f t="shared" ca="1" si="4"/>
        <v>173105.85121285898</v>
      </c>
      <c r="J38" s="41">
        <f t="shared" ca="1" si="0"/>
        <v>4473118.6137110768</v>
      </c>
      <c r="K38" s="41">
        <f t="shared" ca="1" si="1"/>
        <v>223655.93068555385</v>
      </c>
      <c r="L38" s="41">
        <f t="shared" ca="1" si="2"/>
        <v>4696774.5443966305</v>
      </c>
    </row>
    <row r="39" spans="2:12" x14ac:dyDescent="0.3">
      <c r="G39" s="16">
        <v>18</v>
      </c>
      <c r="H39" s="41">
        <f t="shared" ca="1" si="3"/>
        <v>4696774.5443966305</v>
      </c>
      <c r="I39" s="41">
        <f t="shared" ca="1" si="4"/>
        <v>173105.85121285898</v>
      </c>
      <c r="J39" s="41">
        <f t="shared" ca="1" si="0"/>
        <v>4869880.3956094896</v>
      </c>
      <c r="K39" s="41">
        <f t="shared" ca="1" si="1"/>
        <v>243494.01978047448</v>
      </c>
      <c r="L39" s="41">
        <f t="shared" ca="1" si="2"/>
        <v>5113374.4153899644</v>
      </c>
    </row>
    <row r="40" spans="2:12" x14ac:dyDescent="0.3">
      <c r="G40" s="16">
        <v>19</v>
      </c>
      <c r="H40" s="41">
        <f t="shared" ca="1" si="3"/>
        <v>5113374.4153899644</v>
      </c>
      <c r="I40" s="41">
        <f t="shared" ca="1" si="4"/>
        <v>173105.85121285898</v>
      </c>
      <c r="J40" s="41">
        <f t="shared" ca="1" si="0"/>
        <v>5286480.2666028235</v>
      </c>
      <c r="K40" s="41">
        <f t="shared" ca="1" si="1"/>
        <v>264324.0133301412</v>
      </c>
      <c r="L40" s="41">
        <f t="shared" ca="1" si="2"/>
        <v>5550804.2799329646</v>
      </c>
    </row>
    <row r="41" spans="2:12" x14ac:dyDescent="0.3">
      <c r="G41" s="16">
        <v>20</v>
      </c>
      <c r="H41" s="41">
        <f t="shared" ca="1" si="3"/>
        <v>5550804.2799329646</v>
      </c>
      <c r="I41" s="41">
        <f t="shared" ca="1" si="4"/>
        <v>173105.85121285898</v>
      </c>
      <c r="J41" s="41">
        <f t="shared" ca="1" si="0"/>
        <v>5723910.1311458237</v>
      </c>
      <c r="K41" s="41">
        <f t="shared" ca="1" si="1"/>
        <v>286195.5065572912</v>
      </c>
      <c r="L41" s="41">
        <f t="shared" ca="1" si="2"/>
        <v>6010105.6377031151</v>
      </c>
    </row>
    <row r="42" spans="2:12" x14ac:dyDescent="0.3">
      <c r="G42" s="16">
        <v>21</v>
      </c>
      <c r="H42" s="41">
        <f t="shared" ca="1" si="3"/>
        <v>6010105.6377031151</v>
      </c>
      <c r="I42" s="41">
        <f t="shared" ca="1" si="4"/>
        <v>173105.85121285898</v>
      </c>
      <c r="J42" s="41">
        <f t="shared" ca="1" si="0"/>
        <v>6183211.4889159743</v>
      </c>
      <c r="K42" s="41">
        <f t="shared" ca="1" si="1"/>
        <v>309160.5744457987</v>
      </c>
      <c r="L42" s="41">
        <f t="shared" ca="1" si="2"/>
        <v>6492372.0633617733</v>
      </c>
    </row>
    <row r="43" spans="2:12" x14ac:dyDescent="0.3">
      <c r="G43" s="16">
        <v>22</v>
      </c>
      <c r="H43" s="41">
        <f t="shared" ca="1" si="3"/>
        <v>6492372.0633617733</v>
      </c>
      <c r="I43" s="41">
        <f t="shared" ca="1" si="4"/>
        <v>173105.85121285898</v>
      </c>
      <c r="J43" s="41">
        <f t="shared" ca="1" si="0"/>
        <v>6665477.9145746324</v>
      </c>
      <c r="K43" s="41">
        <f t="shared" ca="1" si="1"/>
        <v>333273.89572873164</v>
      </c>
      <c r="L43" s="41">
        <f t="shared" ca="1" si="2"/>
        <v>6998751.8103033639</v>
      </c>
    </row>
    <row r="44" spans="2:12" x14ac:dyDescent="0.3">
      <c r="G44" s="16">
        <v>23</v>
      </c>
      <c r="H44" s="41">
        <f t="shared" ca="1" si="3"/>
        <v>6998751.8103033639</v>
      </c>
      <c r="I44" s="41">
        <f t="shared" ca="1" si="4"/>
        <v>173105.85121285898</v>
      </c>
      <c r="J44" s="41">
        <f t="shared" ca="1" si="0"/>
        <v>7171857.6615162231</v>
      </c>
      <c r="K44" s="41">
        <f t="shared" ca="1" si="1"/>
        <v>358592.8830758112</v>
      </c>
      <c r="L44" s="41">
        <f t="shared" ca="1" si="2"/>
        <v>7530450.5445920341</v>
      </c>
    </row>
    <row r="45" spans="2:12" x14ac:dyDescent="0.3">
      <c r="G45" s="16">
        <v>24</v>
      </c>
      <c r="H45" s="41">
        <f t="shared" ca="1" si="3"/>
        <v>7530450.5445920341</v>
      </c>
      <c r="I45" s="41">
        <f t="shared" ca="1" si="4"/>
        <v>173105.85121285898</v>
      </c>
      <c r="J45" s="41">
        <f t="shared" ca="1" si="0"/>
        <v>7703556.3958048932</v>
      </c>
      <c r="K45" s="41">
        <f t="shared" ca="1" si="1"/>
        <v>385177.81979024468</v>
      </c>
      <c r="L45" s="41">
        <f t="shared" ca="1" si="2"/>
        <v>8088734.2155951383</v>
      </c>
    </row>
    <row r="46" spans="2:12" x14ac:dyDescent="0.3">
      <c r="G46" s="16">
        <v>25</v>
      </c>
      <c r="H46" s="41">
        <f t="shared" ca="1" si="3"/>
        <v>8088734.2155951383</v>
      </c>
      <c r="I46" s="41">
        <f t="shared" ca="1" si="4"/>
        <v>173105.85121285898</v>
      </c>
      <c r="J46" s="41">
        <f t="shared" ca="1" si="0"/>
        <v>8261840.0668079974</v>
      </c>
      <c r="K46" s="41">
        <f t="shared" ca="1" si="1"/>
        <v>413092.00334039988</v>
      </c>
      <c r="L46" s="41">
        <f t="shared" ca="1" si="2"/>
        <v>8674932.0701483972</v>
      </c>
    </row>
    <row r="47" spans="2:12" x14ac:dyDescent="0.3">
      <c r="G47" s="16">
        <v>26</v>
      </c>
      <c r="H47" s="41">
        <f t="shared" ca="1" si="3"/>
        <v>8674932.0701483972</v>
      </c>
      <c r="I47" s="41">
        <f t="shared" ca="1" si="4"/>
        <v>173105.85121285898</v>
      </c>
      <c r="J47" s="41">
        <f t="shared" ca="1" si="0"/>
        <v>8848037.9213612564</v>
      </c>
      <c r="K47" s="41">
        <f t="shared" ca="1" si="1"/>
        <v>442401.89606806287</v>
      </c>
      <c r="L47" s="41">
        <f t="shared" ca="1" si="2"/>
        <v>9290439.817429319</v>
      </c>
    </row>
    <row r="48" spans="2:12" x14ac:dyDescent="0.3">
      <c r="G48" s="16">
        <v>27</v>
      </c>
      <c r="H48" s="41">
        <f t="shared" ca="1" si="3"/>
        <v>9290439.817429319</v>
      </c>
      <c r="I48" s="41">
        <f t="shared" ca="1" si="4"/>
        <v>173105.85121285898</v>
      </c>
      <c r="J48" s="41">
        <f t="shared" ca="1" si="0"/>
        <v>9463545.6686421782</v>
      </c>
      <c r="K48" s="41">
        <f t="shared" ca="1" si="1"/>
        <v>473177.28343210893</v>
      </c>
      <c r="L48" s="41">
        <f t="shared" ca="1" si="2"/>
        <v>9936722.9520742875</v>
      </c>
    </row>
    <row r="49" spans="7:12" x14ac:dyDescent="0.3">
      <c r="G49" s="16">
        <v>28</v>
      </c>
      <c r="H49" s="41">
        <f t="shared" ca="1" si="3"/>
        <v>9936722.9520742875</v>
      </c>
      <c r="I49" s="41">
        <f t="shared" ca="1" si="4"/>
        <v>173105.85121285898</v>
      </c>
      <c r="J49" s="41">
        <f t="shared" ca="1" si="0"/>
        <v>10109828.803287147</v>
      </c>
      <c r="K49" s="41">
        <f t="shared" ca="1" si="1"/>
        <v>505491.44016435737</v>
      </c>
      <c r="L49" s="41">
        <f t="shared" ca="1" si="2"/>
        <v>10615320.243451504</v>
      </c>
    </row>
    <row r="50" spans="7:12" x14ac:dyDescent="0.3">
      <c r="G50" s="16">
        <v>29</v>
      </c>
      <c r="H50" s="41">
        <f t="shared" ca="1" si="3"/>
        <v>10615320.243451504</v>
      </c>
      <c r="I50" s="41">
        <f t="shared" ca="1" si="4"/>
        <v>173105.85121285898</v>
      </c>
      <c r="J50" s="41">
        <f t="shared" ca="1" si="0"/>
        <v>10788426.094664363</v>
      </c>
      <c r="K50" s="41">
        <f t="shared" ca="1" si="1"/>
        <v>539421.30473321816</v>
      </c>
      <c r="L50" s="41">
        <f t="shared" ca="1" si="2"/>
        <v>11327847.399397582</v>
      </c>
    </row>
    <row r="51" spans="7:12" x14ac:dyDescent="0.3">
      <c r="G51" s="16">
        <v>30</v>
      </c>
      <c r="H51" s="41">
        <f t="shared" ca="1" si="3"/>
        <v>11327847.399397582</v>
      </c>
      <c r="I51" s="41">
        <f t="shared" ca="1" si="4"/>
        <v>173105.85121285898</v>
      </c>
      <c r="J51" s="41">
        <f t="shared" ca="1" si="0"/>
        <v>11500953.250610441</v>
      </c>
      <c r="K51" s="41">
        <f t="shared" ca="1" si="1"/>
        <v>575047.6625305221</v>
      </c>
      <c r="L51" s="41">
        <f t="shared" ca="1" si="2"/>
        <v>12076000.913140964</v>
      </c>
    </row>
    <row r="52" spans="7:12" x14ac:dyDescent="0.3">
      <c r="G52" s="16">
        <v>31</v>
      </c>
      <c r="H52" s="41">
        <f t="shared" ca="1" si="3"/>
        <v>12076000.913140964</v>
      </c>
      <c r="I52" s="41">
        <f t="shared" ca="1" si="4"/>
        <v>173105.85121285898</v>
      </c>
      <c r="J52" s="41">
        <f t="shared" ca="1" si="0"/>
        <v>12249106.764353823</v>
      </c>
      <c r="K52" s="41">
        <f t="shared" ca="1" si="1"/>
        <v>612455.33821769117</v>
      </c>
      <c r="L52" s="41">
        <f t="shared" ca="1" si="2"/>
        <v>12861562.102571514</v>
      </c>
    </row>
    <row r="53" spans="7:12" x14ac:dyDescent="0.3">
      <c r="G53" s="16">
        <v>32</v>
      </c>
      <c r="H53" s="41">
        <f t="shared" ca="1" si="3"/>
        <v>12861562.102571514</v>
      </c>
      <c r="I53" s="41">
        <f t="shared" ca="1" si="4"/>
        <v>173105.85121285898</v>
      </c>
      <c r="J53" s="41">
        <f t="shared" ca="1" si="0"/>
        <v>13034667.953784373</v>
      </c>
      <c r="K53" s="41">
        <f t="shared" ca="1" si="1"/>
        <v>651733.39768921863</v>
      </c>
      <c r="L53" s="41">
        <f t="shared" ca="1" si="2"/>
        <v>13686401.351473592</v>
      </c>
    </row>
    <row r="54" spans="7:12" x14ac:dyDescent="0.3">
      <c r="G54" s="16">
        <v>33</v>
      </c>
      <c r="H54" s="41">
        <f t="shared" ca="1" si="3"/>
        <v>13686401.351473592</v>
      </c>
      <c r="I54" s="41">
        <f t="shared" ca="1" si="4"/>
        <v>173105.85121285898</v>
      </c>
      <c r="J54" s="41">
        <f t="shared" ca="1" si="0"/>
        <v>13859507.202686451</v>
      </c>
      <c r="K54" s="41">
        <f t="shared" ca="1" si="1"/>
        <v>692975.36013432266</v>
      </c>
      <c r="L54" s="41">
        <f t="shared" ca="1" si="2"/>
        <v>14552482.562820774</v>
      </c>
    </row>
    <row r="55" spans="7:12" x14ac:dyDescent="0.3">
      <c r="G55" s="16">
        <v>34</v>
      </c>
      <c r="H55" s="41">
        <f t="shared" ca="1" si="3"/>
        <v>14552482.562820774</v>
      </c>
      <c r="I55" s="41">
        <f t="shared" ca="1" si="4"/>
        <v>173105.85121285898</v>
      </c>
      <c r="J55" s="41">
        <f t="shared" ca="1" si="0"/>
        <v>14725588.414033633</v>
      </c>
      <c r="K55" s="41">
        <f t="shared" ca="1" si="1"/>
        <v>736279.42070168164</v>
      </c>
      <c r="L55" s="41">
        <f t="shared" ca="1" si="2"/>
        <v>15461867.834735315</v>
      </c>
    </row>
    <row r="56" spans="7:12" x14ac:dyDescent="0.3">
      <c r="G56" s="16">
        <v>35</v>
      </c>
      <c r="H56" s="41">
        <f t="shared" ca="1" si="3"/>
        <v>15461867.834735315</v>
      </c>
      <c r="I56" s="41">
        <f t="shared" ca="1" si="4"/>
        <v>173105.85121285898</v>
      </c>
      <c r="J56" s="41">
        <f t="shared" ca="1" si="0"/>
        <v>15634973.685948174</v>
      </c>
      <c r="K56" s="41">
        <f t="shared" ca="1" si="1"/>
        <v>781748.68429740879</v>
      </c>
      <c r="L56" s="41">
        <f t="shared" ca="1" si="2"/>
        <v>16416722.370245583</v>
      </c>
    </row>
    <row r="57" spans="7:12" x14ac:dyDescent="0.3">
      <c r="G57" s="16">
        <v>36</v>
      </c>
      <c r="H57" s="41">
        <f t="shared" ca="1" si="3"/>
        <v>16416722.370245583</v>
      </c>
      <c r="I57" s="41">
        <f t="shared" ca="1" si="4"/>
        <v>173105.85121285898</v>
      </c>
      <c r="J57" s="41">
        <f t="shared" ca="1" si="0"/>
        <v>16589828.221458443</v>
      </c>
      <c r="K57" s="41">
        <f t="shared" ca="1" si="1"/>
        <v>829491.41107292217</v>
      </c>
      <c r="L57" s="41">
        <f t="shared" ca="1" si="2"/>
        <v>17419319.632531364</v>
      </c>
    </row>
    <row r="58" spans="7:12" x14ac:dyDescent="0.3">
      <c r="G58" s="16">
        <v>37</v>
      </c>
      <c r="H58" s="41">
        <f t="shared" ca="1" si="3"/>
        <v>17419319.632531364</v>
      </c>
      <c r="I58" s="41">
        <f t="shared" ca="1" si="4"/>
        <v>173105.85121285898</v>
      </c>
      <c r="J58" s="41">
        <f t="shared" ca="1" si="0"/>
        <v>17592425.483744223</v>
      </c>
      <c r="K58" s="41">
        <f t="shared" ca="1" si="1"/>
        <v>879621.27418721118</v>
      </c>
      <c r="L58" s="41">
        <f t="shared" ca="1" si="2"/>
        <v>18472046.757931434</v>
      </c>
    </row>
  </sheetData>
  <phoneticPr fontId="1" type="noConversion"/>
  <hyperlinks>
    <hyperlink ref="B6" r:id="rId1"/>
  </hyperlinks>
  <pageMargins left="0.7" right="0.7" top="0.75" bottom="0.75" header="0.3" footer="0.3"/>
  <pageSetup paperSize="9" scale="47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23"/>
  <sheetViews>
    <sheetView showGridLines="0" showRowColHeaders="0" tabSelected="1" topLeftCell="A7" workbookViewId="0">
      <selection activeCell="O22" sqref="O22"/>
    </sheetView>
  </sheetViews>
  <sheetFormatPr defaultRowHeight="15" x14ac:dyDescent="0.35"/>
  <cols>
    <col min="1" max="4" width="8.6640625" style="71"/>
    <col min="5" max="6" width="11.4140625" style="71" bestFit="1" customWidth="1"/>
    <col min="7" max="16384" width="8.6640625" style="71"/>
  </cols>
  <sheetData>
    <row r="2" spans="2:7" x14ac:dyDescent="0.35">
      <c r="B2" s="76" t="s">
        <v>140</v>
      </c>
      <c r="C2" s="76"/>
      <c r="D2" s="76"/>
      <c r="E2" s="76"/>
      <c r="F2" s="76"/>
      <c r="G2" s="76"/>
    </row>
    <row r="3" spans="2:7" x14ac:dyDescent="0.35">
      <c r="B3" s="76" t="s">
        <v>133</v>
      </c>
      <c r="C3" s="76"/>
      <c r="D3" s="76"/>
      <c r="E3" s="76"/>
      <c r="F3" s="76"/>
      <c r="G3" s="76"/>
    </row>
    <row r="4" spans="2:7" x14ac:dyDescent="0.35">
      <c r="B4" s="76" t="s">
        <v>132</v>
      </c>
      <c r="C4" s="76"/>
      <c r="D4" s="76"/>
      <c r="E4" s="76"/>
      <c r="F4" s="76"/>
      <c r="G4" s="76"/>
    </row>
    <row r="6" spans="2:7" x14ac:dyDescent="0.35">
      <c r="B6" s="77" t="s">
        <v>134</v>
      </c>
      <c r="C6" s="77"/>
      <c r="D6" s="77"/>
      <c r="E6" s="77"/>
      <c r="F6" s="77"/>
      <c r="G6" s="77"/>
    </row>
    <row r="7" spans="2:7" ht="15.45" thickBot="1" x14ac:dyDescent="0.4"/>
    <row r="8" spans="2:7" ht="15.45" customHeight="1" thickBot="1" x14ac:dyDescent="0.4">
      <c r="B8" s="78" t="s">
        <v>135</v>
      </c>
      <c r="C8" s="79"/>
      <c r="D8" s="79"/>
      <c r="E8" s="79"/>
      <c r="F8" s="79"/>
      <c r="G8" s="80"/>
    </row>
    <row r="9" spans="2:7" ht="15.9" customHeight="1" thickBot="1" x14ac:dyDescent="0.4">
      <c r="B9" s="85" t="s">
        <v>27</v>
      </c>
      <c r="C9" s="86"/>
      <c r="D9" s="86"/>
      <c r="E9" s="87"/>
      <c r="F9" s="86" t="s">
        <v>137</v>
      </c>
      <c r="G9" s="87"/>
    </row>
    <row r="10" spans="2:7" x14ac:dyDescent="0.35">
      <c r="B10" s="88" t="s">
        <v>136</v>
      </c>
      <c r="C10" s="89"/>
      <c r="D10" s="89"/>
      <c r="E10" s="90"/>
      <c r="F10" s="89">
        <v>54026230</v>
      </c>
      <c r="G10" s="90"/>
    </row>
    <row r="11" spans="2:7" x14ac:dyDescent="0.35">
      <c r="B11" s="88" t="s">
        <v>138</v>
      </c>
      <c r="C11" s="89"/>
      <c r="D11" s="89"/>
      <c r="E11" s="90"/>
      <c r="F11" s="89">
        <v>54025720</v>
      </c>
      <c r="G11" s="90"/>
    </row>
    <row r="12" spans="2:7" ht="15.9" customHeight="1" thickBot="1" x14ac:dyDescent="0.4">
      <c r="B12" s="91" t="s">
        <v>139</v>
      </c>
      <c r="C12" s="83"/>
      <c r="D12" s="83"/>
      <c r="E12" s="84"/>
      <c r="F12" s="83">
        <v>53307816</v>
      </c>
      <c r="G12" s="84"/>
    </row>
    <row r="18" spans="2:7" x14ac:dyDescent="0.35">
      <c r="B18" s="81" t="s">
        <v>160</v>
      </c>
      <c r="C18" s="81"/>
      <c r="D18" s="81"/>
      <c r="E18" s="81"/>
      <c r="F18" s="81"/>
      <c r="G18" s="81"/>
    </row>
    <row r="19" spans="2:7" ht="37.299999999999997" customHeight="1" x14ac:dyDescent="0.35">
      <c r="B19" s="82" t="s">
        <v>159</v>
      </c>
      <c r="C19" s="82"/>
      <c r="D19" s="82"/>
      <c r="E19" s="82"/>
      <c r="F19" s="82"/>
      <c r="G19" s="82"/>
    </row>
    <row r="20" spans="2:7" x14ac:dyDescent="0.35">
      <c r="B20" s="75" t="s">
        <v>156</v>
      </c>
      <c r="C20" s="75"/>
      <c r="D20" s="75"/>
      <c r="E20" s="75"/>
      <c r="F20" s="75"/>
      <c r="G20" s="75"/>
    </row>
    <row r="21" spans="2:7" x14ac:dyDescent="0.35">
      <c r="B21" s="75" t="s">
        <v>157</v>
      </c>
      <c r="C21" s="75"/>
      <c r="D21" s="75"/>
      <c r="E21" s="75"/>
      <c r="F21" s="75"/>
      <c r="G21" s="75"/>
    </row>
    <row r="22" spans="2:7" x14ac:dyDescent="0.35">
      <c r="B22" s="75" t="s">
        <v>158</v>
      </c>
      <c r="C22" s="75"/>
      <c r="D22" s="75"/>
      <c r="E22" s="75"/>
      <c r="F22" s="75"/>
      <c r="G22" s="75"/>
    </row>
    <row r="23" spans="2:7" x14ac:dyDescent="0.35">
      <c r="B23" s="75" t="s">
        <v>155</v>
      </c>
      <c r="C23" s="75"/>
      <c r="D23" s="75"/>
      <c r="E23" s="75"/>
      <c r="F23" s="75"/>
      <c r="G23" s="75"/>
    </row>
  </sheetData>
  <mergeCells count="15">
    <mergeCell ref="B18:G18"/>
    <mergeCell ref="B19:G19"/>
    <mergeCell ref="F12:G12"/>
    <mergeCell ref="B9:E9"/>
    <mergeCell ref="B10:E10"/>
    <mergeCell ref="B11:E11"/>
    <mergeCell ref="B12:E12"/>
    <mergeCell ref="F9:G9"/>
    <mergeCell ref="F10:G10"/>
    <mergeCell ref="F11:G11"/>
    <mergeCell ref="B2:G2"/>
    <mergeCell ref="B3:G3"/>
    <mergeCell ref="B4:G4"/>
    <mergeCell ref="B6:G6"/>
    <mergeCell ref="B8:G8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.Main">
                <anchor moveWithCells="1" sizeWithCells="1">
                  <from>
                    <xdr:col>1</xdr:col>
                    <xdr:colOff>54429</xdr:colOff>
                    <xdr:row>13</xdr:row>
                    <xdr:rowOff>16329</xdr:rowOff>
                  </from>
                  <to>
                    <xdr:col>6</xdr:col>
                    <xdr:colOff>555171</xdr:colOff>
                    <xdr:row>15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3"/>
  <sheetViews>
    <sheetView showGridLines="0" showRowColHeaders="0" zoomScaleNormal="100" workbookViewId="0">
      <selection activeCell="B6" sqref="B6"/>
    </sheetView>
  </sheetViews>
  <sheetFormatPr defaultRowHeight="13.75" x14ac:dyDescent="0.3"/>
  <cols>
    <col min="1" max="1" width="26.5" style="70" customWidth="1"/>
    <col min="2" max="2" width="24.25" style="31" customWidth="1"/>
    <col min="3" max="3" width="3.33203125" style="43" customWidth="1"/>
    <col min="4" max="4" width="27.5" style="16" bestFit="1" customWidth="1"/>
    <col min="5" max="5" width="20.08203125" style="16" customWidth="1"/>
    <col min="6" max="6" width="1.5" style="16" customWidth="1"/>
    <col min="7" max="7" width="8.6640625" style="16"/>
    <col min="8" max="10" width="18.1640625" style="72" bestFit="1" customWidth="1"/>
    <col min="11" max="11" width="18.1640625" style="72" customWidth="1"/>
    <col min="12" max="12" width="18.1640625" style="72" bestFit="1" customWidth="1"/>
    <col min="13" max="16384" width="8.6640625" style="16"/>
  </cols>
  <sheetData>
    <row r="1" spans="1:5" s="16" customFormat="1" x14ac:dyDescent="0.3">
      <c r="A1" s="65" t="s">
        <v>55</v>
      </c>
      <c r="B1" s="56"/>
      <c r="C1" s="42"/>
      <c r="D1" s="94" t="s">
        <v>98</v>
      </c>
      <c r="E1" s="95"/>
    </row>
    <row r="2" spans="1:5" s="16" customFormat="1" x14ac:dyDescent="0.3">
      <c r="A2" s="66" t="s">
        <v>81</v>
      </c>
      <c r="B2" s="64"/>
      <c r="C2" s="42"/>
      <c r="D2" s="48" t="s">
        <v>99</v>
      </c>
      <c r="E2" s="49"/>
    </row>
    <row r="3" spans="1:5" s="16" customFormat="1" ht="14.15" thickBot="1" x14ac:dyDescent="0.35">
      <c r="A3" s="67"/>
      <c r="B3" s="59"/>
      <c r="C3" s="42"/>
      <c r="D3" s="48" t="s">
        <v>100</v>
      </c>
      <c r="E3" s="49"/>
    </row>
    <row r="4" spans="1:5" s="16" customFormat="1" x14ac:dyDescent="0.3">
      <c r="A4" s="102" t="s">
        <v>119</v>
      </c>
      <c r="B4" s="103"/>
      <c r="C4" s="42"/>
      <c r="D4" s="44" t="s">
        <v>123</v>
      </c>
      <c r="E4" s="49">
        <f xml:space="preserve"> ( (1+E2)/(1+E3) )^(1/12) -1</f>
        <v>0</v>
      </c>
    </row>
    <row r="5" spans="1:5" s="16" customFormat="1" ht="14.15" thickBot="1" x14ac:dyDescent="0.35">
      <c r="A5" s="68" t="s">
        <v>27</v>
      </c>
      <c r="B5" s="57"/>
      <c r="C5" s="42"/>
      <c r="D5" s="46"/>
      <c r="E5" s="47"/>
    </row>
    <row r="6" spans="1:5" s="16" customFormat="1" x14ac:dyDescent="0.3">
      <c r="A6" s="68" t="s">
        <v>82</v>
      </c>
      <c r="B6" s="58"/>
      <c r="C6" s="42"/>
      <c r="D6" s="92" t="s">
        <v>101</v>
      </c>
      <c r="E6" s="93"/>
    </row>
    <row r="7" spans="1:5" s="16" customFormat="1" x14ac:dyDescent="0.3">
      <c r="A7" s="68" t="s">
        <v>65</v>
      </c>
      <c r="B7" s="57"/>
      <c r="C7" s="42"/>
      <c r="D7" s="44" t="s">
        <v>102</v>
      </c>
      <c r="E7" s="45" t="e">
        <f ca="1">E8+B12</f>
        <v>#N/A</v>
      </c>
    </row>
    <row r="8" spans="1:5" s="16" customFormat="1" ht="14.15" thickBot="1" x14ac:dyDescent="0.35">
      <c r="A8" s="67"/>
      <c r="B8" s="63"/>
      <c r="C8" s="43"/>
      <c r="D8" s="44" t="s">
        <v>103</v>
      </c>
      <c r="E8" s="45" t="e">
        <f ca="1">VLOOKUP(B12,LifeTable[#All],ViewQuote!C10,FALSE)</f>
        <v>#N/A</v>
      </c>
    </row>
    <row r="9" spans="1:5" s="16" customFormat="1" x14ac:dyDescent="0.3">
      <c r="A9" s="104" t="s">
        <v>120</v>
      </c>
      <c r="B9" s="105"/>
      <c r="C9" s="43"/>
      <c r="D9" s="44" t="s">
        <v>104</v>
      </c>
      <c r="E9" s="45">
        <f ca="1">B19-B12</f>
        <v>-2016</v>
      </c>
    </row>
    <row r="10" spans="1:5" s="16" customFormat="1" x14ac:dyDescent="0.3">
      <c r="A10" s="68" t="s">
        <v>83</v>
      </c>
      <c r="B10" s="60"/>
      <c r="C10" s="43">
        <f>IF(B10="M",2,3)</f>
        <v>3</v>
      </c>
      <c r="D10" s="44" t="s">
        <v>105</v>
      </c>
      <c r="E10" s="45" t="str">
        <f ca="1">IF( B20 &gt;B12, B20 - B12, "")</f>
        <v/>
      </c>
    </row>
    <row r="11" spans="1:5" s="16" customFormat="1" x14ac:dyDescent="0.3">
      <c r="A11" s="68" t="s">
        <v>84</v>
      </c>
      <c r="B11" s="60"/>
      <c r="C11" s="43"/>
      <c r="D11" s="44" t="s">
        <v>106</v>
      </c>
      <c r="E11" s="45">
        <f ca="1">MIN(E9:E10)</f>
        <v>-2016</v>
      </c>
    </row>
    <row r="12" spans="1:5" s="16" customFormat="1" x14ac:dyDescent="0.3">
      <c r="A12" s="68" t="s">
        <v>85</v>
      </c>
      <c r="B12" s="60">
        <f ca="1">YEAR(NOW())-YOB</f>
        <v>2016</v>
      </c>
      <c r="C12" s="43"/>
      <c r="D12" s="44"/>
      <c r="E12" s="45"/>
    </row>
    <row r="13" spans="1:5" s="16" customFormat="1" ht="14.15" thickBot="1" x14ac:dyDescent="0.35">
      <c r="A13" s="67"/>
      <c r="B13" s="63"/>
      <c r="C13" s="43"/>
      <c r="D13" s="44" t="s">
        <v>107</v>
      </c>
      <c r="E13" s="50" t="e">
        <f ca="1" xml:space="preserve"> PV(E4, E8*12, -B15, 0, 1) + B27 + B16 + B21</f>
        <v>#N/A</v>
      </c>
    </row>
    <row r="14" spans="1:5" s="16" customFormat="1" x14ac:dyDescent="0.3">
      <c r="A14" s="106" t="s">
        <v>86</v>
      </c>
      <c r="B14" s="107"/>
      <c r="C14" s="43"/>
      <c r="D14" s="44" t="s">
        <v>115</v>
      </c>
      <c r="E14" s="45" t="e">
        <f>VLOOKUP(C30, OccupationTable[], 3, FALSE)</f>
        <v>#N/A</v>
      </c>
    </row>
    <row r="15" spans="1:5" s="16" customFormat="1" x14ac:dyDescent="0.3">
      <c r="A15" s="68" t="s">
        <v>87</v>
      </c>
      <c r="B15" s="61"/>
      <c r="C15" s="43"/>
      <c r="D15" s="44" t="s">
        <v>116</v>
      </c>
      <c r="E15" s="45">
        <f>IF(B31="No", 0, IF(B31="Yes", 0.1 * B32/5, 0.07 * B32/5))</f>
        <v>0</v>
      </c>
    </row>
    <row r="16" spans="1:5" s="16" customFormat="1" ht="27.45" x14ac:dyDescent="0.3">
      <c r="A16" s="68" t="s">
        <v>88</v>
      </c>
      <c r="B16" s="61"/>
      <c r="C16" s="43"/>
      <c r="D16" s="51" t="s">
        <v>124</v>
      </c>
      <c r="E16" s="52" t="e">
        <f>SUM(E14:E15) + 1</f>
        <v>#N/A</v>
      </c>
    </row>
    <row r="17" spans="1:12" ht="14.15" thickBot="1" x14ac:dyDescent="0.35">
      <c r="A17" s="67"/>
      <c r="B17" s="63"/>
      <c r="D17" s="44"/>
      <c r="E17" s="50"/>
      <c r="H17" s="16"/>
      <c r="I17" s="16"/>
      <c r="J17" s="16"/>
      <c r="K17" s="16"/>
      <c r="L17" s="16"/>
    </row>
    <row r="18" spans="1:12" x14ac:dyDescent="0.3">
      <c r="A18" s="96" t="s">
        <v>89</v>
      </c>
      <c r="B18" s="97"/>
      <c r="D18" s="51" t="s">
        <v>108</v>
      </c>
      <c r="E18" s="50" t="e">
        <f ca="1">E13*E16</f>
        <v>#N/A</v>
      </c>
      <c r="H18" s="16"/>
      <c r="I18" s="16"/>
      <c r="J18" s="16"/>
      <c r="K18" s="16"/>
      <c r="L18" s="16"/>
    </row>
    <row r="19" spans="1:12" x14ac:dyDescent="0.3">
      <c r="A19" s="68" t="s">
        <v>90</v>
      </c>
      <c r="B19" s="60"/>
      <c r="D19" s="51" t="s">
        <v>109</v>
      </c>
      <c r="E19" s="50">
        <f>SUM(B24:B26)</f>
        <v>0</v>
      </c>
      <c r="H19" s="16"/>
      <c r="I19" s="16"/>
      <c r="J19" s="16"/>
      <c r="K19" s="16"/>
      <c r="L19" s="16"/>
    </row>
    <row r="20" spans="1:12" ht="27.45" x14ac:dyDescent="0.3">
      <c r="A20" s="68" t="s">
        <v>91</v>
      </c>
      <c r="B20" s="60"/>
      <c r="D20" s="51" t="s">
        <v>110</v>
      </c>
      <c r="E20" s="53" t="e">
        <f ca="1">IF(E18 &gt; E19, E18-E19, 0)</f>
        <v>#N/A</v>
      </c>
      <c r="H20" s="16"/>
      <c r="I20" s="16"/>
      <c r="J20" s="16"/>
      <c r="K20" s="16"/>
      <c r="L20" s="16"/>
    </row>
    <row r="21" spans="1:12" x14ac:dyDescent="0.3">
      <c r="A21" s="68" t="s">
        <v>92</v>
      </c>
      <c r="B21" s="61"/>
      <c r="D21" s="51" t="s">
        <v>111</v>
      </c>
      <c r="E21" s="50" t="e">
        <f ca="1">E20 * (1 + E3) ^ E11</f>
        <v>#N/A</v>
      </c>
      <c r="G21" s="73" t="s">
        <v>126</v>
      </c>
      <c r="H21" s="73" t="s">
        <v>128</v>
      </c>
      <c r="I21" s="73" t="s">
        <v>54</v>
      </c>
      <c r="J21" s="73" t="s">
        <v>127</v>
      </c>
      <c r="K21" s="73" t="s">
        <v>129</v>
      </c>
      <c r="L21" s="73" t="s">
        <v>130</v>
      </c>
    </row>
    <row r="22" spans="1:12" ht="14.15" thickBot="1" x14ac:dyDescent="0.35">
      <c r="A22" s="67"/>
      <c r="B22" s="63"/>
      <c r="D22" s="51" t="s">
        <v>112</v>
      </c>
      <c r="E22" s="50" t="e">
        <f ca="1">PMT(E2, E11, 0, -E21, 1)</f>
        <v>#N/A</v>
      </c>
      <c r="G22" s="16">
        <v>1</v>
      </c>
      <c r="H22" s="72">
        <v>0</v>
      </c>
      <c r="I22" s="72" t="e">
        <f ca="1">$E$22</f>
        <v>#N/A</v>
      </c>
      <c r="J22" s="72" t="e">
        <f ca="1">H22+I22</f>
        <v>#N/A</v>
      </c>
      <c r="K22" s="72" t="e">
        <f ca="1">J22*$E$2</f>
        <v>#N/A</v>
      </c>
      <c r="L22" s="72" t="e">
        <f ca="1">J22+K22</f>
        <v>#N/A</v>
      </c>
    </row>
    <row r="23" spans="1:12" ht="14.15" thickBot="1" x14ac:dyDescent="0.35">
      <c r="A23" s="98" t="s">
        <v>93</v>
      </c>
      <c r="B23" s="99"/>
      <c r="D23" s="54" t="s">
        <v>113</v>
      </c>
      <c r="E23" s="55" t="e">
        <f ca="1">E22/12</f>
        <v>#N/A</v>
      </c>
      <c r="G23" s="16">
        <f>G22+1</f>
        <v>2</v>
      </c>
      <c r="H23" s="72" t="e">
        <f ca="1">L22</f>
        <v>#N/A</v>
      </c>
      <c r="I23" s="72" t="e">
        <f ca="1">$E$22</f>
        <v>#N/A</v>
      </c>
      <c r="J23" s="72" t="e">
        <f t="shared" ref="J23" ca="1" si="0">H23+I23</f>
        <v>#N/A</v>
      </c>
      <c r="K23" s="72" t="e">
        <f t="shared" ref="K23" ca="1" si="1">J23*$E$2</f>
        <v>#N/A</v>
      </c>
      <c r="L23" s="72" t="e">
        <f t="shared" ref="L23" ca="1" si="2">J23+K23</f>
        <v>#N/A</v>
      </c>
    </row>
    <row r="24" spans="1:12" x14ac:dyDescent="0.3">
      <c r="A24" s="68" t="s">
        <v>94</v>
      </c>
      <c r="B24" s="61"/>
    </row>
    <row r="25" spans="1:12" x14ac:dyDescent="0.3">
      <c r="A25" s="68" t="s">
        <v>95</v>
      </c>
      <c r="B25" s="61"/>
    </row>
    <row r="26" spans="1:12" x14ac:dyDescent="0.3">
      <c r="A26" s="69" t="s">
        <v>97</v>
      </c>
      <c r="B26" s="61"/>
    </row>
    <row r="27" spans="1:12" x14ac:dyDescent="0.3">
      <c r="A27" s="69" t="s">
        <v>96</v>
      </c>
      <c r="B27" s="61"/>
    </row>
    <row r="28" spans="1:12" ht="14.15" thickBot="1" x14ac:dyDescent="0.35">
      <c r="A28" s="67"/>
      <c r="B28" s="63"/>
    </row>
    <row r="29" spans="1:12" x14ac:dyDescent="0.3">
      <c r="A29" s="100" t="s">
        <v>114</v>
      </c>
      <c r="B29" s="101"/>
    </row>
    <row r="30" spans="1:12" x14ac:dyDescent="0.3">
      <c r="A30" s="68" t="s">
        <v>62</v>
      </c>
      <c r="B30" s="57" t="e">
        <f>VLOOKUP(C30,OccupationTable[#All],2,FALSE)</f>
        <v>#N/A</v>
      </c>
    </row>
    <row r="31" spans="1:12" x14ac:dyDescent="0.3">
      <c r="A31" s="68" t="s">
        <v>117</v>
      </c>
      <c r="B31" s="60"/>
    </row>
    <row r="32" spans="1:12" ht="14.15" thickBot="1" x14ac:dyDescent="0.35">
      <c r="A32" s="67" t="s">
        <v>118</v>
      </c>
      <c r="B32" s="62"/>
    </row>
    <row r="33" spans="2:2" x14ac:dyDescent="0.3">
      <c r="B33" s="30"/>
    </row>
  </sheetData>
  <sheetProtection selectLockedCells="1" selectUnlockedCells="1"/>
  <mergeCells count="8">
    <mergeCell ref="D6:E6"/>
    <mergeCell ref="D1:E1"/>
    <mergeCell ref="A18:B18"/>
    <mergeCell ref="A23:B23"/>
    <mergeCell ref="A29:B29"/>
    <mergeCell ref="A4:B4"/>
    <mergeCell ref="A9:B9"/>
    <mergeCell ref="A14:B14"/>
  </mergeCells>
  <phoneticPr fontId="1" type="noConversion"/>
  <pageMargins left="0.7" right="0.7" top="0.75" bottom="0.75" header="0.3" footer="0.3"/>
  <pageSetup paperSize="9" scale="47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4"/>
  <sheetViews>
    <sheetView showGridLines="0" showRowColHeaders="0" workbookViewId="0">
      <selection activeCell="H13" sqref="H13"/>
    </sheetView>
  </sheetViews>
  <sheetFormatPr defaultRowHeight="13.75" x14ac:dyDescent="0.3"/>
  <cols>
    <col min="1" max="1" width="10.6640625" style="19" customWidth="1"/>
    <col min="2" max="2" width="22.1640625" style="21" bestFit="1" customWidth="1"/>
    <col min="3" max="3" width="12" style="20" customWidth="1"/>
    <col min="4" max="4" width="12.33203125" style="20" customWidth="1"/>
    <col min="5" max="5" width="8.6640625" style="20"/>
    <col min="6" max="6" width="8.75" style="20" bestFit="1" customWidth="1"/>
    <col min="7" max="7" width="9.4140625" style="20" customWidth="1"/>
    <col min="8" max="8" width="11.1640625" style="19" bestFit="1" customWidth="1"/>
    <col min="9" max="9" width="17.1640625" style="17" bestFit="1" customWidth="1"/>
    <col min="10" max="10" width="19.25" style="17" bestFit="1" customWidth="1"/>
    <col min="11" max="11" width="12.08203125" style="19" customWidth="1"/>
    <col min="12" max="12" width="17.33203125" style="17" bestFit="1" customWidth="1"/>
    <col min="13" max="13" width="18.6640625" style="19" customWidth="1"/>
    <col min="14" max="14" width="19.08203125" style="17" bestFit="1" customWidth="1"/>
    <col min="15" max="15" width="16.08203125" style="17" bestFit="1" customWidth="1"/>
    <col min="16" max="16" width="17.33203125" style="17" bestFit="1" customWidth="1"/>
    <col min="17" max="17" width="16.08203125" style="17" bestFit="1" customWidth="1"/>
    <col min="18" max="18" width="13.1640625" style="19" customWidth="1"/>
    <col min="19" max="19" width="9" style="20" customWidth="1"/>
    <col min="20" max="20" width="13.33203125" style="18" customWidth="1"/>
    <col min="21" max="22" width="8.6640625" style="23"/>
    <col min="23" max="16384" width="8.6640625" style="16"/>
  </cols>
  <sheetData>
    <row r="1" spans="1:22" x14ac:dyDescent="0.3">
      <c r="A1" s="20" t="s">
        <v>55</v>
      </c>
      <c r="B1" s="20" t="s">
        <v>76</v>
      </c>
      <c r="C1" s="20" t="s">
        <v>56</v>
      </c>
      <c r="D1" s="20" t="s">
        <v>57</v>
      </c>
      <c r="E1" s="20" t="s">
        <v>58</v>
      </c>
      <c r="F1" s="20" t="s">
        <v>65</v>
      </c>
      <c r="G1" s="20" t="s">
        <v>59</v>
      </c>
      <c r="H1" s="16" t="s">
        <v>71</v>
      </c>
      <c r="I1" s="16" t="s">
        <v>69</v>
      </c>
      <c r="J1" s="16" t="s">
        <v>70</v>
      </c>
      <c r="K1" s="16" t="s">
        <v>60</v>
      </c>
      <c r="L1" s="16" t="s">
        <v>68</v>
      </c>
      <c r="M1" s="16" t="s">
        <v>74</v>
      </c>
      <c r="N1" s="16" t="s">
        <v>66</v>
      </c>
      <c r="O1" s="16" t="s">
        <v>61</v>
      </c>
      <c r="P1" s="16" t="s">
        <v>67</v>
      </c>
      <c r="Q1" s="20" t="s">
        <v>75</v>
      </c>
      <c r="R1" s="20" t="s">
        <v>62</v>
      </c>
      <c r="S1" s="20" t="s">
        <v>63</v>
      </c>
      <c r="T1" s="20" t="s">
        <v>64</v>
      </c>
      <c r="U1" s="23" t="s">
        <v>72</v>
      </c>
      <c r="V1" s="23" t="s">
        <v>73</v>
      </c>
    </row>
    <row r="2" spans="1:22" ht="15.45" x14ac:dyDescent="0.4">
      <c r="A2" s="19">
        <v>5</v>
      </c>
      <c r="B2" s="21">
        <v>42697.05363425926</v>
      </c>
      <c r="C2" s="22" t="s">
        <v>144</v>
      </c>
      <c r="D2" s="22" t="s">
        <v>141</v>
      </c>
      <c r="E2" s="74" t="s">
        <v>147</v>
      </c>
      <c r="F2" s="22" t="s">
        <v>145</v>
      </c>
      <c r="G2" s="22" t="s">
        <v>78</v>
      </c>
      <c r="H2" s="19">
        <v>1978</v>
      </c>
      <c r="I2" s="17">
        <v>10000</v>
      </c>
      <c r="J2" s="17">
        <v>3000000</v>
      </c>
      <c r="K2" s="19">
        <v>2043</v>
      </c>
      <c r="L2" s="17">
        <v>100000</v>
      </c>
      <c r="M2" s="19">
        <v>2048</v>
      </c>
      <c r="N2" s="17">
        <v>2000</v>
      </c>
      <c r="O2" s="17">
        <v>5000</v>
      </c>
      <c r="P2" s="17">
        <v>6000</v>
      </c>
      <c r="Q2" s="17">
        <v>4000</v>
      </c>
      <c r="R2" s="19">
        <v>4</v>
      </c>
      <c r="S2" s="22" t="s">
        <v>79</v>
      </c>
      <c r="T2" s="18">
        <v>7</v>
      </c>
      <c r="U2" s="23">
        <v>7.0000000000000007E-2</v>
      </c>
      <c r="V2" s="23">
        <v>0.03</v>
      </c>
    </row>
    <row r="3" spans="1:22" ht="15.45" x14ac:dyDescent="0.4">
      <c r="A3" s="19">
        <v>11</v>
      </c>
      <c r="B3" s="21">
        <v>42697.734895833331</v>
      </c>
      <c r="C3" s="22" t="s">
        <v>150</v>
      </c>
      <c r="D3" s="22" t="s">
        <v>151</v>
      </c>
      <c r="E3" s="74" t="s">
        <v>148</v>
      </c>
      <c r="F3" s="22" t="s">
        <v>152</v>
      </c>
      <c r="G3" s="22" t="s">
        <v>153</v>
      </c>
      <c r="H3" s="19">
        <v>1993</v>
      </c>
      <c r="I3" s="17">
        <v>13000</v>
      </c>
      <c r="J3" s="17">
        <v>0</v>
      </c>
      <c r="K3" s="19">
        <v>2058</v>
      </c>
      <c r="L3" s="17">
        <v>100000</v>
      </c>
      <c r="M3" s="19">
        <v>2053</v>
      </c>
      <c r="N3" s="17">
        <v>100000</v>
      </c>
      <c r="O3" s="17">
        <v>15000</v>
      </c>
      <c r="P3" s="17">
        <v>30000</v>
      </c>
      <c r="Q3" s="17">
        <v>0</v>
      </c>
      <c r="R3" s="19">
        <v>10</v>
      </c>
      <c r="S3" s="22" t="s">
        <v>154</v>
      </c>
      <c r="T3" s="18">
        <v>3</v>
      </c>
      <c r="U3" s="23">
        <v>0.05</v>
      </c>
      <c r="V3" s="23">
        <v>0.03</v>
      </c>
    </row>
    <row r="4" spans="1:22" ht="15.45" x14ac:dyDescent="0.4">
      <c r="A4" s="19">
        <v>12</v>
      </c>
      <c r="B4" s="21">
        <v>42697.243981481479</v>
      </c>
      <c r="C4" s="22" t="s">
        <v>143</v>
      </c>
      <c r="D4" s="22" t="s">
        <v>142</v>
      </c>
      <c r="E4" s="74" t="s">
        <v>149</v>
      </c>
      <c r="F4" s="22" t="s">
        <v>146</v>
      </c>
      <c r="G4" s="22" t="s">
        <v>77</v>
      </c>
      <c r="H4" s="19">
        <v>1998</v>
      </c>
      <c r="I4" s="17">
        <v>5000</v>
      </c>
      <c r="J4" s="17">
        <v>0</v>
      </c>
      <c r="K4" s="19">
        <v>2063</v>
      </c>
      <c r="L4" s="17">
        <v>200000</v>
      </c>
      <c r="M4" s="19">
        <v>0</v>
      </c>
      <c r="N4" s="17">
        <v>0</v>
      </c>
      <c r="O4" s="17">
        <v>0</v>
      </c>
      <c r="P4" s="17">
        <v>0</v>
      </c>
      <c r="Q4" s="17">
        <v>0</v>
      </c>
      <c r="R4" s="19">
        <v>10</v>
      </c>
      <c r="S4" s="22" t="s">
        <v>80</v>
      </c>
      <c r="T4" s="18">
        <v>0</v>
      </c>
      <c r="U4" s="23">
        <v>0.05</v>
      </c>
      <c r="V4" s="23">
        <v>0.03</v>
      </c>
    </row>
  </sheetData>
  <sheetProtection selectLockedCells="1" selectUnlockedCells="1"/>
  <phoneticPr fontId="1" type="noConversion"/>
  <hyperlinks>
    <hyperlink ref="E2" r:id="rId1"/>
    <hyperlink ref="E3" r:id="rId2"/>
    <hyperlink ref="E4" r:id="rId3" display="paulsing@outllok.com"/>
  </hyperlinks>
  <pageMargins left="0.7" right="0.7" top="0.75" bottom="0.75" header="0.3" footer="0.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2"/>
  <sheetViews>
    <sheetView showGridLines="0" showRowColHeaders="0" workbookViewId="0">
      <selection activeCell="B22" sqref="B22"/>
    </sheetView>
  </sheetViews>
  <sheetFormatPr defaultRowHeight="15.45" x14ac:dyDescent="0.4"/>
  <cols>
    <col min="1" max="1" width="11.83203125" bestFit="1" customWidth="1"/>
    <col min="2" max="2" width="44.58203125" bestFit="1" customWidth="1"/>
    <col min="3" max="3" width="18.83203125" bestFit="1" customWidth="1"/>
  </cols>
  <sheetData>
    <row r="1" spans="1:3" x14ac:dyDescent="0.4">
      <c r="A1" s="16" t="s">
        <v>50</v>
      </c>
      <c r="B1" s="16" t="s">
        <v>38</v>
      </c>
      <c r="C1" s="16" t="s">
        <v>49</v>
      </c>
    </row>
    <row r="2" spans="1:3" x14ac:dyDescent="0.4">
      <c r="A2" s="16">
        <v>1</v>
      </c>
      <c r="B2" s="16" t="s">
        <v>39</v>
      </c>
      <c r="C2" s="16">
        <v>0</v>
      </c>
    </row>
    <row r="3" spans="1:3" x14ac:dyDescent="0.4">
      <c r="A3" s="16">
        <v>2</v>
      </c>
      <c r="B3" s="16" t="s">
        <v>40</v>
      </c>
      <c r="C3" s="16">
        <v>0.2</v>
      </c>
    </row>
    <row r="4" spans="1:3" x14ac:dyDescent="0.4">
      <c r="A4" s="16">
        <v>3</v>
      </c>
      <c r="B4" s="16" t="s">
        <v>41</v>
      </c>
      <c r="C4" s="16">
        <v>0.08</v>
      </c>
    </row>
    <row r="5" spans="1:3" x14ac:dyDescent="0.4">
      <c r="A5" s="16">
        <v>4</v>
      </c>
      <c r="B5" s="16" t="s">
        <v>42</v>
      </c>
      <c r="C5" s="16">
        <v>0.13</v>
      </c>
    </row>
    <row r="6" spans="1:3" x14ac:dyDescent="0.4">
      <c r="A6" s="16">
        <v>5</v>
      </c>
      <c r="B6" s="16" t="s">
        <v>43</v>
      </c>
      <c r="C6" s="16">
        <v>0.18</v>
      </c>
    </row>
    <row r="7" spans="1:3" x14ac:dyDescent="0.4">
      <c r="A7" s="16">
        <v>6</v>
      </c>
      <c r="B7" s="16" t="s">
        <v>44</v>
      </c>
      <c r="C7" s="16">
        <v>0.03</v>
      </c>
    </row>
    <row r="8" spans="1:3" x14ac:dyDescent="0.4">
      <c r="A8" s="16">
        <v>7</v>
      </c>
      <c r="B8" s="16" t="s">
        <v>45</v>
      </c>
      <c r="C8" s="16">
        <v>0.04</v>
      </c>
    </row>
    <row r="9" spans="1:3" x14ac:dyDescent="0.4">
      <c r="A9" s="16">
        <v>8</v>
      </c>
      <c r="B9" s="16" t="s">
        <v>46</v>
      </c>
      <c r="C9" s="16">
        <v>0.16</v>
      </c>
    </row>
    <row r="10" spans="1:3" x14ac:dyDescent="0.4">
      <c r="A10" s="16">
        <v>9</v>
      </c>
      <c r="B10" s="16" t="s">
        <v>47</v>
      </c>
      <c r="C10" s="16">
        <v>0.09</v>
      </c>
    </row>
    <row r="11" spans="1:3" x14ac:dyDescent="0.4">
      <c r="A11" s="16">
        <v>10</v>
      </c>
      <c r="B11" s="16" t="s">
        <v>48</v>
      </c>
      <c r="C11" s="16">
        <v>0.09</v>
      </c>
    </row>
    <row r="12" spans="1:3" x14ac:dyDescent="0.4">
      <c r="A12" s="16">
        <v>11</v>
      </c>
      <c r="B12" s="16" t="s">
        <v>51</v>
      </c>
      <c r="C12" s="16">
        <v>0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102"/>
  <sheetViews>
    <sheetView showGridLines="0" showRowColHeaders="0" workbookViewId="0">
      <selection activeCell="E15" sqref="E15"/>
    </sheetView>
  </sheetViews>
  <sheetFormatPr defaultRowHeight="15.45" x14ac:dyDescent="0.4"/>
  <cols>
    <col min="2" max="2" width="24.25" customWidth="1"/>
    <col min="3" max="3" width="26.25" customWidth="1"/>
  </cols>
  <sheetData>
    <row r="1" spans="1:3" x14ac:dyDescent="0.4">
      <c r="A1" s="16" t="s">
        <v>7</v>
      </c>
      <c r="B1" s="16" t="s">
        <v>6</v>
      </c>
      <c r="C1" s="16" t="s">
        <v>5</v>
      </c>
    </row>
    <row r="2" spans="1:3" x14ac:dyDescent="0.4">
      <c r="A2" s="16">
        <v>0</v>
      </c>
      <c r="B2" s="16">
        <v>81.41</v>
      </c>
      <c r="C2" s="16">
        <v>87.62</v>
      </c>
    </row>
    <row r="3" spans="1:3" x14ac:dyDescent="0.4">
      <c r="A3" s="16">
        <v>1</v>
      </c>
      <c r="B3" s="16">
        <v>80.540000000000006</v>
      </c>
      <c r="C3" s="16">
        <v>86.73</v>
      </c>
    </row>
    <row r="4" spans="1:3" x14ac:dyDescent="0.4">
      <c r="A4" s="16">
        <v>2</v>
      </c>
      <c r="B4" s="16">
        <v>79.56</v>
      </c>
      <c r="C4" s="16">
        <v>85.76</v>
      </c>
    </row>
    <row r="5" spans="1:3" x14ac:dyDescent="0.4">
      <c r="A5" s="16">
        <v>3</v>
      </c>
      <c r="B5" s="16">
        <v>78.569999999999993</v>
      </c>
      <c r="C5" s="16">
        <v>84.79</v>
      </c>
    </row>
    <row r="6" spans="1:3" x14ac:dyDescent="0.4">
      <c r="A6" s="16">
        <v>4</v>
      </c>
      <c r="B6" s="16">
        <v>77.58</v>
      </c>
      <c r="C6" s="16">
        <v>83.81</v>
      </c>
    </row>
    <row r="7" spans="1:3" x14ac:dyDescent="0.4">
      <c r="A7" s="16">
        <v>5</v>
      </c>
      <c r="B7" s="16">
        <v>76.59</v>
      </c>
      <c r="C7" s="16">
        <v>82.82</v>
      </c>
    </row>
    <row r="8" spans="1:3" x14ac:dyDescent="0.4">
      <c r="A8" s="16">
        <v>6</v>
      </c>
      <c r="B8" s="16">
        <v>75.59</v>
      </c>
      <c r="C8" s="16">
        <v>81.83</v>
      </c>
    </row>
    <row r="9" spans="1:3" x14ac:dyDescent="0.4">
      <c r="A9" s="16">
        <v>7</v>
      </c>
      <c r="B9" s="16">
        <v>74.599999999999994</v>
      </c>
      <c r="C9" s="16">
        <v>80.84</v>
      </c>
    </row>
    <row r="10" spans="1:3" x14ac:dyDescent="0.4">
      <c r="A10" s="16">
        <v>8</v>
      </c>
      <c r="B10" s="16">
        <v>73.599999999999994</v>
      </c>
      <c r="C10" s="16">
        <v>79.84</v>
      </c>
    </row>
    <row r="11" spans="1:3" x14ac:dyDescent="0.4">
      <c r="A11" s="16">
        <v>9</v>
      </c>
      <c r="B11" s="16">
        <v>72.599999999999994</v>
      </c>
      <c r="C11" s="16">
        <v>78.849999999999994</v>
      </c>
    </row>
    <row r="12" spans="1:3" x14ac:dyDescent="0.4">
      <c r="A12" s="16">
        <v>10</v>
      </c>
      <c r="B12" s="16">
        <v>71.61</v>
      </c>
      <c r="C12" s="16">
        <v>77.849999999999994</v>
      </c>
    </row>
    <row r="13" spans="1:3" x14ac:dyDescent="0.4">
      <c r="A13" s="16">
        <v>11</v>
      </c>
      <c r="B13" s="16">
        <v>70.61</v>
      </c>
      <c r="C13" s="16">
        <v>76.849999999999994</v>
      </c>
    </row>
    <row r="14" spans="1:3" x14ac:dyDescent="0.4">
      <c r="A14" s="16">
        <v>12</v>
      </c>
      <c r="B14" s="16">
        <v>69.61</v>
      </c>
      <c r="C14" s="16">
        <v>75.86</v>
      </c>
    </row>
    <row r="15" spans="1:3" x14ac:dyDescent="0.4">
      <c r="A15" s="16">
        <v>13</v>
      </c>
      <c r="B15" s="16">
        <v>68.62</v>
      </c>
      <c r="C15" s="16">
        <v>74.86</v>
      </c>
    </row>
    <row r="16" spans="1:3" x14ac:dyDescent="0.4">
      <c r="A16" s="16">
        <v>14</v>
      </c>
      <c r="B16" s="16">
        <v>67.62</v>
      </c>
      <c r="C16" s="16">
        <v>73.86</v>
      </c>
    </row>
    <row r="17" spans="1:3" x14ac:dyDescent="0.4">
      <c r="A17" s="16">
        <v>15</v>
      </c>
      <c r="B17" s="16">
        <v>66.63</v>
      </c>
      <c r="C17" s="16">
        <v>72.87</v>
      </c>
    </row>
    <row r="18" spans="1:3" x14ac:dyDescent="0.4">
      <c r="A18" s="16">
        <v>16</v>
      </c>
      <c r="B18" s="16">
        <v>65.64</v>
      </c>
      <c r="C18" s="16">
        <v>71.87</v>
      </c>
    </row>
    <row r="19" spans="1:3" x14ac:dyDescent="0.4">
      <c r="A19" s="16">
        <v>17</v>
      </c>
      <c r="B19" s="16">
        <v>64.650000000000006</v>
      </c>
      <c r="C19" s="16">
        <v>70.88</v>
      </c>
    </row>
    <row r="20" spans="1:3" x14ac:dyDescent="0.4">
      <c r="A20" s="16">
        <v>18</v>
      </c>
      <c r="B20" s="16">
        <v>63.66</v>
      </c>
      <c r="C20" s="16">
        <v>69.89</v>
      </c>
    </row>
    <row r="21" spans="1:3" x14ac:dyDescent="0.4">
      <c r="A21" s="16">
        <v>19</v>
      </c>
      <c r="B21" s="16">
        <v>62.67</v>
      </c>
      <c r="C21" s="16">
        <v>68.89</v>
      </c>
    </row>
    <row r="22" spans="1:3" x14ac:dyDescent="0.4">
      <c r="A22" s="16">
        <v>20</v>
      </c>
      <c r="B22" s="16">
        <v>61.68</v>
      </c>
      <c r="C22" s="16">
        <v>67.900000000000006</v>
      </c>
    </row>
    <row r="23" spans="1:3" x14ac:dyDescent="0.4">
      <c r="A23" s="16">
        <v>21</v>
      </c>
      <c r="B23" s="16">
        <v>60.7</v>
      </c>
      <c r="C23" s="16">
        <v>66.91</v>
      </c>
    </row>
    <row r="24" spans="1:3" x14ac:dyDescent="0.4">
      <c r="A24" s="16">
        <v>22</v>
      </c>
      <c r="B24" s="16">
        <v>59.72</v>
      </c>
      <c r="C24" s="16">
        <v>65.92</v>
      </c>
    </row>
    <row r="25" spans="1:3" x14ac:dyDescent="0.4">
      <c r="A25" s="16">
        <v>23</v>
      </c>
      <c r="B25" s="16">
        <v>58.73</v>
      </c>
      <c r="C25" s="16">
        <v>64.930000000000007</v>
      </c>
    </row>
    <row r="26" spans="1:3" x14ac:dyDescent="0.4">
      <c r="A26" s="16">
        <v>24</v>
      </c>
      <c r="B26" s="16">
        <v>57.75</v>
      </c>
      <c r="C26" s="16">
        <v>63.94</v>
      </c>
    </row>
    <row r="27" spans="1:3" x14ac:dyDescent="0.4">
      <c r="A27" s="16">
        <v>25</v>
      </c>
      <c r="B27" s="16">
        <v>56.77</v>
      </c>
      <c r="C27" s="16">
        <v>62.94</v>
      </c>
    </row>
    <row r="28" spans="1:3" x14ac:dyDescent="0.4">
      <c r="A28" s="16">
        <v>26</v>
      </c>
      <c r="B28" s="16">
        <v>55.8</v>
      </c>
      <c r="C28" s="16">
        <v>61.95</v>
      </c>
    </row>
    <row r="29" spans="1:3" x14ac:dyDescent="0.4">
      <c r="A29" s="16">
        <v>27</v>
      </c>
      <c r="B29" s="16">
        <v>54.82</v>
      </c>
      <c r="C29" s="16">
        <v>60.96</v>
      </c>
    </row>
    <row r="30" spans="1:3" x14ac:dyDescent="0.4">
      <c r="A30" s="16">
        <v>28</v>
      </c>
      <c r="B30" s="16">
        <v>53.84</v>
      </c>
      <c r="C30" s="16">
        <v>59.97</v>
      </c>
    </row>
    <row r="31" spans="1:3" x14ac:dyDescent="0.4">
      <c r="A31" s="16">
        <v>29</v>
      </c>
      <c r="B31" s="16">
        <v>52.87</v>
      </c>
      <c r="C31" s="16">
        <v>58.98</v>
      </c>
    </row>
    <row r="32" spans="1:3" x14ac:dyDescent="0.4">
      <c r="A32" s="16">
        <v>30</v>
      </c>
      <c r="B32" s="16">
        <v>51.89</v>
      </c>
      <c r="C32" s="16">
        <v>57.98</v>
      </c>
    </row>
    <row r="33" spans="1:3" x14ac:dyDescent="0.4">
      <c r="A33" s="16">
        <v>31</v>
      </c>
      <c r="B33" s="16">
        <v>50.92</v>
      </c>
      <c r="C33" s="16">
        <v>56.99</v>
      </c>
    </row>
    <row r="34" spans="1:3" x14ac:dyDescent="0.4">
      <c r="A34" s="16">
        <v>32</v>
      </c>
      <c r="B34" s="16">
        <v>49.95</v>
      </c>
      <c r="C34" s="16">
        <v>56</v>
      </c>
    </row>
    <row r="35" spans="1:3" x14ac:dyDescent="0.4">
      <c r="A35" s="16">
        <v>33</v>
      </c>
      <c r="B35" s="16">
        <v>48.97</v>
      </c>
      <c r="C35" s="16">
        <v>55.01</v>
      </c>
    </row>
    <row r="36" spans="1:3" x14ac:dyDescent="0.4">
      <c r="A36" s="16">
        <v>34</v>
      </c>
      <c r="B36" s="16">
        <v>48</v>
      </c>
      <c r="C36" s="16">
        <v>54.03</v>
      </c>
    </row>
    <row r="37" spans="1:3" x14ac:dyDescent="0.4">
      <c r="A37" s="16">
        <v>35</v>
      </c>
      <c r="B37" s="16">
        <v>47.04</v>
      </c>
      <c r="C37" s="16">
        <v>53.04</v>
      </c>
    </row>
    <row r="38" spans="1:3" x14ac:dyDescent="0.4">
      <c r="A38" s="16">
        <v>36</v>
      </c>
      <c r="B38" s="16">
        <v>46.07</v>
      </c>
      <c r="C38" s="16">
        <v>52.06</v>
      </c>
    </row>
    <row r="39" spans="1:3" x14ac:dyDescent="0.4">
      <c r="A39" s="16">
        <v>37</v>
      </c>
      <c r="B39" s="16">
        <v>45.1</v>
      </c>
      <c r="C39" s="16">
        <v>51.08</v>
      </c>
    </row>
    <row r="40" spans="1:3" x14ac:dyDescent="0.4">
      <c r="A40" s="16">
        <v>38</v>
      </c>
      <c r="B40" s="16">
        <v>44.14</v>
      </c>
      <c r="C40" s="16">
        <v>50.1</v>
      </c>
    </row>
    <row r="41" spans="1:3" x14ac:dyDescent="0.4">
      <c r="A41" s="16">
        <v>39</v>
      </c>
      <c r="B41" s="16">
        <v>43.17</v>
      </c>
      <c r="C41" s="16">
        <v>49.12</v>
      </c>
    </row>
    <row r="42" spans="1:3" x14ac:dyDescent="0.4">
      <c r="A42" s="16">
        <v>40</v>
      </c>
      <c r="B42" s="16">
        <v>42.21</v>
      </c>
      <c r="C42" s="16">
        <v>48.15</v>
      </c>
    </row>
    <row r="43" spans="1:3" x14ac:dyDescent="0.4">
      <c r="A43" s="16">
        <v>41</v>
      </c>
      <c r="B43" s="16">
        <v>41.25</v>
      </c>
      <c r="C43" s="16">
        <v>47.18</v>
      </c>
    </row>
    <row r="44" spans="1:3" x14ac:dyDescent="0.4">
      <c r="A44" s="16">
        <v>42</v>
      </c>
      <c r="B44" s="16">
        <v>40.29</v>
      </c>
      <c r="C44" s="16">
        <v>46.21</v>
      </c>
    </row>
    <row r="45" spans="1:3" x14ac:dyDescent="0.4">
      <c r="A45" s="16">
        <v>43</v>
      </c>
      <c r="B45" s="16">
        <v>39.340000000000003</v>
      </c>
      <c r="C45" s="16">
        <v>45.24</v>
      </c>
    </row>
    <row r="46" spans="1:3" x14ac:dyDescent="0.4">
      <c r="A46" s="16">
        <v>44</v>
      </c>
      <c r="B46" s="16">
        <v>38.380000000000003</v>
      </c>
      <c r="C46" s="16">
        <v>44.27</v>
      </c>
    </row>
    <row r="47" spans="1:3" x14ac:dyDescent="0.4">
      <c r="A47" s="16">
        <v>45</v>
      </c>
      <c r="B47" s="16">
        <v>37.43</v>
      </c>
      <c r="C47" s="16">
        <v>43.3</v>
      </c>
    </row>
    <row r="48" spans="1:3" x14ac:dyDescent="0.4">
      <c r="A48" s="16">
        <v>46</v>
      </c>
      <c r="B48" s="16">
        <v>36.49</v>
      </c>
      <c r="C48" s="16">
        <v>42.34</v>
      </c>
    </row>
    <row r="49" spans="1:3" x14ac:dyDescent="0.4">
      <c r="A49" s="16">
        <v>47</v>
      </c>
      <c r="B49" s="16">
        <v>35.549999999999997</v>
      </c>
      <c r="C49" s="16">
        <v>41.38</v>
      </c>
    </row>
    <row r="50" spans="1:3" x14ac:dyDescent="0.4">
      <c r="A50" s="16">
        <v>48</v>
      </c>
      <c r="B50" s="16">
        <v>34.61</v>
      </c>
      <c r="C50" s="16">
        <v>40.42</v>
      </c>
    </row>
    <row r="51" spans="1:3" x14ac:dyDescent="0.4">
      <c r="A51" s="16">
        <v>49</v>
      </c>
      <c r="B51" s="16">
        <v>33.68</v>
      </c>
      <c r="C51" s="16">
        <v>39.47</v>
      </c>
    </row>
    <row r="52" spans="1:3" x14ac:dyDescent="0.4">
      <c r="A52" s="16">
        <v>50</v>
      </c>
      <c r="B52" s="16">
        <v>32.76</v>
      </c>
      <c r="C52" s="16">
        <v>38.520000000000003</v>
      </c>
    </row>
    <row r="53" spans="1:3" x14ac:dyDescent="0.4">
      <c r="A53" s="16">
        <v>51</v>
      </c>
      <c r="B53" s="16">
        <v>31.84</v>
      </c>
      <c r="C53" s="16">
        <v>37.57</v>
      </c>
    </row>
    <row r="54" spans="1:3" x14ac:dyDescent="0.4">
      <c r="A54" s="16">
        <v>52</v>
      </c>
      <c r="B54" s="16">
        <v>30.93</v>
      </c>
      <c r="C54" s="16">
        <v>36.630000000000003</v>
      </c>
    </row>
    <row r="55" spans="1:3" x14ac:dyDescent="0.4">
      <c r="A55" s="16">
        <v>53</v>
      </c>
      <c r="B55" s="16">
        <v>30.02</v>
      </c>
      <c r="C55" s="16">
        <v>35.68</v>
      </c>
    </row>
    <row r="56" spans="1:3" x14ac:dyDescent="0.4">
      <c r="A56" s="16">
        <v>54</v>
      </c>
      <c r="B56" s="16">
        <v>29.12</v>
      </c>
      <c r="C56" s="16">
        <v>34.74</v>
      </c>
    </row>
    <row r="57" spans="1:3" x14ac:dyDescent="0.4">
      <c r="A57" s="16">
        <v>55</v>
      </c>
      <c r="B57" s="16">
        <v>28.22</v>
      </c>
      <c r="C57" s="16">
        <v>33.81</v>
      </c>
    </row>
    <row r="58" spans="1:3" x14ac:dyDescent="0.4">
      <c r="A58" s="16">
        <v>56</v>
      </c>
      <c r="B58" s="16">
        <v>27.33</v>
      </c>
      <c r="C58" s="16">
        <v>32.869999999999997</v>
      </c>
    </row>
    <row r="59" spans="1:3" x14ac:dyDescent="0.4">
      <c r="A59" s="16">
        <v>57</v>
      </c>
      <c r="B59" s="16">
        <v>26.45</v>
      </c>
      <c r="C59" s="16">
        <v>31.94</v>
      </c>
    </row>
    <row r="60" spans="1:3" x14ac:dyDescent="0.4">
      <c r="A60" s="16">
        <v>58</v>
      </c>
      <c r="B60" s="16">
        <v>25.58</v>
      </c>
      <c r="C60" s="16">
        <v>31.01</v>
      </c>
    </row>
    <row r="61" spans="1:3" x14ac:dyDescent="0.4">
      <c r="A61" s="16">
        <v>59</v>
      </c>
      <c r="B61" s="16">
        <v>24.71</v>
      </c>
      <c r="C61" s="16">
        <v>30.09</v>
      </c>
    </row>
    <row r="62" spans="1:3" x14ac:dyDescent="0.4">
      <c r="A62" s="16">
        <v>60</v>
      </c>
      <c r="B62" s="16">
        <v>23.86</v>
      </c>
      <c r="C62" s="16">
        <v>29.17</v>
      </c>
    </row>
    <row r="63" spans="1:3" x14ac:dyDescent="0.4">
      <c r="A63" s="16">
        <v>61</v>
      </c>
      <c r="B63" s="16">
        <v>23.01</v>
      </c>
      <c r="C63" s="16">
        <v>28.25</v>
      </c>
    </row>
    <row r="64" spans="1:3" x14ac:dyDescent="0.4">
      <c r="A64" s="16">
        <v>62</v>
      </c>
      <c r="B64" s="16">
        <v>22.17</v>
      </c>
      <c r="C64" s="16">
        <v>27.34</v>
      </c>
    </row>
    <row r="65" spans="1:3" x14ac:dyDescent="0.4">
      <c r="A65" s="16">
        <v>63</v>
      </c>
      <c r="B65" s="16">
        <v>21.34</v>
      </c>
      <c r="C65" s="16">
        <v>26.43</v>
      </c>
    </row>
    <row r="66" spans="1:3" x14ac:dyDescent="0.4">
      <c r="A66" s="16">
        <v>64</v>
      </c>
      <c r="B66" s="16">
        <v>20.52</v>
      </c>
      <c r="C66" s="16">
        <v>25.53</v>
      </c>
    </row>
    <row r="67" spans="1:3" x14ac:dyDescent="0.4">
      <c r="A67" s="16">
        <v>65</v>
      </c>
      <c r="B67" s="16">
        <v>19.71</v>
      </c>
      <c r="C67" s="16">
        <v>24.63</v>
      </c>
    </row>
    <row r="68" spans="1:3" x14ac:dyDescent="0.4">
      <c r="A68" s="16">
        <v>66</v>
      </c>
      <c r="B68" s="16">
        <v>18.91</v>
      </c>
      <c r="C68" s="16">
        <v>23.73</v>
      </c>
    </row>
    <row r="69" spans="1:3" x14ac:dyDescent="0.4">
      <c r="A69" s="16">
        <v>67</v>
      </c>
      <c r="B69" s="16">
        <v>18.11</v>
      </c>
      <c r="C69" s="16">
        <v>22.84</v>
      </c>
    </row>
    <row r="70" spans="1:3" x14ac:dyDescent="0.4">
      <c r="A70" s="16">
        <v>68</v>
      </c>
      <c r="B70" s="16">
        <v>17.329999999999998</v>
      </c>
      <c r="C70" s="16">
        <v>21.95</v>
      </c>
    </row>
    <row r="71" spans="1:3" x14ac:dyDescent="0.4">
      <c r="A71" s="16">
        <v>69</v>
      </c>
      <c r="B71" s="16">
        <v>16.55</v>
      </c>
      <c r="C71" s="16">
        <v>21.07</v>
      </c>
    </row>
    <row r="72" spans="1:3" x14ac:dyDescent="0.4">
      <c r="A72" s="16">
        <v>70</v>
      </c>
      <c r="B72" s="16">
        <v>15.78</v>
      </c>
      <c r="C72" s="16">
        <v>20.190000000000001</v>
      </c>
    </row>
    <row r="73" spans="1:3" x14ac:dyDescent="0.4">
      <c r="A73" s="16">
        <v>71</v>
      </c>
      <c r="B73" s="16">
        <v>15.02</v>
      </c>
      <c r="C73" s="16">
        <v>19.329999999999998</v>
      </c>
    </row>
    <row r="74" spans="1:3" x14ac:dyDescent="0.4">
      <c r="A74" s="16">
        <v>72</v>
      </c>
      <c r="B74" s="16">
        <v>14.27</v>
      </c>
      <c r="C74" s="16">
        <v>18.47</v>
      </c>
    </row>
    <row r="75" spans="1:3" x14ac:dyDescent="0.4">
      <c r="A75" s="16">
        <v>73</v>
      </c>
      <c r="B75" s="16">
        <v>13.53</v>
      </c>
      <c r="C75" s="16">
        <v>17.63</v>
      </c>
    </row>
    <row r="76" spans="1:3" x14ac:dyDescent="0.4">
      <c r="A76" s="16">
        <v>74</v>
      </c>
      <c r="B76" s="16">
        <v>12.81</v>
      </c>
      <c r="C76" s="16">
        <v>16.8</v>
      </c>
    </row>
    <row r="77" spans="1:3" x14ac:dyDescent="0.4">
      <c r="A77" s="16">
        <v>75</v>
      </c>
      <c r="B77" s="16">
        <v>12.11</v>
      </c>
      <c r="C77" s="16">
        <v>15.99</v>
      </c>
    </row>
    <row r="78" spans="1:3" x14ac:dyDescent="0.4">
      <c r="A78" s="16">
        <v>76</v>
      </c>
      <c r="B78" s="16">
        <v>11.43</v>
      </c>
      <c r="C78" s="16">
        <v>15.2</v>
      </c>
    </row>
    <row r="79" spans="1:3" x14ac:dyDescent="0.4">
      <c r="A79" s="16">
        <v>77</v>
      </c>
      <c r="B79" s="16">
        <v>10.77</v>
      </c>
      <c r="C79" s="16">
        <v>14.42</v>
      </c>
    </row>
    <row r="80" spans="1:3" x14ac:dyDescent="0.4">
      <c r="A80" s="16">
        <v>78</v>
      </c>
      <c r="B80" s="16">
        <v>10.130000000000001</v>
      </c>
      <c r="C80" s="16">
        <v>13.67</v>
      </c>
    </row>
    <row r="81" spans="1:3" x14ac:dyDescent="0.4">
      <c r="A81" s="16">
        <v>79</v>
      </c>
      <c r="B81" s="16">
        <v>9.52</v>
      </c>
      <c r="C81" s="16">
        <v>12.94</v>
      </c>
    </row>
    <row r="82" spans="1:3" x14ac:dyDescent="0.4">
      <c r="A82" s="16">
        <v>80</v>
      </c>
      <c r="B82" s="16">
        <v>8.93</v>
      </c>
      <c r="C82" s="16">
        <v>12.24</v>
      </c>
    </row>
    <row r="83" spans="1:3" x14ac:dyDescent="0.4">
      <c r="A83" s="16">
        <v>81</v>
      </c>
      <c r="B83" s="16">
        <v>8.3699999999999992</v>
      </c>
      <c r="C83" s="16">
        <v>11.55</v>
      </c>
    </row>
    <row r="84" spans="1:3" x14ac:dyDescent="0.4">
      <c r="A84" s="16">
        <v>82</v>
      </c>
      <c r="B84" s="16">
        <v>7.84</v>
      </c>
      <c r="C84" s="16">
        <v>10.89</v>
      </c>
    </row>
    <row r="85" spans="1:3" x14ac:dyDescent="0.4">
      <c r="A85" s="16">
        <v>83</v>
      </c>
      <c r="B85" s="16">
        <v>7.34</v>
      </c>
      <c r="C85" s="16">
        <v>10.26</v>
      </c>
    </row>
    <row r="86" spans="1:3" x14ac:dyDescent="0.4">
      <c r="A86" s="16">
        <v>84</v>
      </c>
      <c r="B86" s="16">
        <v>6.85</v>
      </c>
      <c r="C86" s="16">
        <v>9.65</v>
      </c>
    </row>
    <row r="87" spans="1:3" x14ac:dyDescent="0.4">
      <c r="A87" s="16">
        <v>85</v>
      </c>
      <c r="B87" s="16">
        <v>6.4</v>
      </c>
      <c r="C87" s="16">
        <v>9.0500000000000007</v>
      </c>
    </row>
    <row r="88" spans="1:3" x14ac:dyDescent="0.4">
      <c r="A88" s="16">
        <v>86</v>
      </c>
      <c r="B88" s="16">
        <v>5.96</v>
      </c>
      <c r="C88" s="16">
        <v>8.49</v>
      </c>
    </row>
    <row r="89" spans="1:3" x14ac:dyDescent="0.4">
      <c r="A89" s="16">
        <v>87</v>
      </c>
      <c r="B89" s="16">
        <v>5.55</v>
      </c>
      <c r="C89" s="16">
        <v>7.94</v>
      </c>
    </row>
    <row r="90" spans="1:3" x14ac:dyDescent="0.4">
      <c r="A90" s="16">
        <v>88</v>
      </c>
      <c r="B90" s="16">
        <v>5.17</v>
      </c>
      <c r="C90" s="16">
        <v>7.42</v>
      </c>
    </row>
    <row r="91" spans="1:3" x14ac:dyDescent="0.4">
      <c r="A91" s="16">
        <v>89</v>
      </c>
      <c r="B91" s="16">
        <v>4.8</v>
      </c>
      <c r="C91" s="16">
        <v>6.92</v>
      </c>
    </row>
    <row r="92" spans="1:3" x14ac:dyDescent="0.4">
      <c r="A92" s="16">
        <v>90</v>
      </c>
      <c r="B92" s="16">
        <v>4.46</v>
      </c>
      <c r="C92" s="16">
        <v>6.45</v>
      </c>
    </row>
    <row r="93" spans="1:3" x14ac:dyDescent="0.4">
      <c r="A93" s="16">
        <v>91</v>
      </c>
      <c r="B93" s="16">
        <v>4.1399999999999997</v>
      </c>
      <c r="C93" s="16">
        <v>6</v>
      </c>
    </row>
    <row r="94" spans="1:3" x14ac:dyDescent="0.4">
      <c r="A94" s="16">
        <v>92</v>
      </c>
      <c r="B94" s="16">
        <v>3.84</v>
      </c>
      <c r="C94" s="16">
        <v>5.57</v>
      </c>
    </row>
    <row r="95" spans="1:3" x14ac:dyDescent="0.4">
      <c r="A95" s="16">
        <v>93</v>
      </c>
      <c r="B95" s="16">
        <v>3.56</v>
      </c>
      <c r="C95" s="16">
        <v>5.16</v>
      </c>
    </row>
    <row r="96" spans="1:3" x14ac:dyDescent="0.4">
      <c r="A96" s="16">
        <v>94</v>
      </c>
      <c r="B96" s="16">
        <v>3.3</v>
      </c>
      <c r="C96" s="16">
        <v>4.78</v>
      </c>
    </row>
    <row r="97" spans="1:3" x14ac:dyDescent="0.4">
      <c r="A97" s="16">
        <v>95</v>
      </c>
      <c r="B97" s="16">
        <v>3.06</v>
      </c>
      <c r="C97" s="16">
        <v>4.42</v>
      </c>
    </row>
    <row r="98" spans="1:3" x14ac:dyDescent="0.4">
      <c r="A98" s="16">
        <v>96</v>
      </c>
      <c r="B98" s="16">
        <v>2.83</v>
      </c>
      <c r="C98" s="16">
        <v>4.08</v>
      </c>
    </row>
    <row r="99" spans="1:3" x14ac:dyDescent="0.4">
      <c r="A99" s="16">
        <v>97</v>
      </c>
      <c r="B99" s="16">
        <v>2.62</v>
      </c>
      <c r="C99" s="16">
        <v>3.77</v>
      </c>
    </row>
    <row r="100" spans="1:3" x14ac:dyDescent="0.4">
      <c r="A100" s="16">
        <v>98</v>
      </c>
      <c r="B100" s="16">
        <v>2.4300000000000002</v>
      </c>
      <c r="C100" s="16">
        <v>3.47</v>
      </c>
    </row>
    <row r="101" spans="1:3" x14ac:dyDescent="0.4">
      <c r="A101" s="16">
        <v>99</v>
      </c>
      <c r="B101" s="16">
        <v>2.25</v>
      </c>
      <c r="C101" s="16">
        <v>3.19</v>
      </c>
    </row>
    <row r="102" spans="1:3" x14ac:dyDescent="0.4">
      <c r="A102" s="16">
        <v>100</v>
      </c>
      <c r="B102" s="16">
        <v>2.08</v>
      </c>
      <c r="C102" s="16">
        <v>2.94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showGridLines="0" showRowColHeaders="0" workbookViewId="0">
      <selection activeCell="F2" sqref="F2"/>
    </sheetView>
  </sheetViews>
  <sheetFormatPr defaultColWidth="8.75" defaultRowHeight="13.75" x14ac:dyDescent="0.3"/>
  <cols>
    <col min="1" max="1" width="12.4140625" style="5" customWidth="1"/>
    <col min="2" max="2" width="15.4140625" style="5" customWidth="1"/>
    <col min="3" max="3" width="16.33203125" style="5" bestFit="1" customWidth="1"/>
    <col min="4" max="4" width="18.5" style="5" bestFit="1" customWidth="1"/>
    <col min="5" max="5" width="12.33203125" style="1" customWidth="1"/>
    <col min="6" max="6" width="20.25" style="15" bestFit="1" customWidth="1"/>
    <col min="7" max="7" width="21.1640625" style="9" customWidth="1"/>
    <col min="8" max="8" width="22.08203125" style="12" bestFit="1" customWidth="1"/>
    <col min="9" max="16384" width="8.75" style="1"/>
  </cols>
  <sheetData>
    <row r="1" spans="1:8" x14ac:dyDescent="0.3">
      <c r="A1" s="6" t="s">
        <v>30</v>
      </c>
      <c r="B1" s="6" t="s">
        <v>21</v>
      </c>
      <c r="C1" s="6" t="s">
        <v>22</v>
      </c>
      <c r="D1" s="6" t="s">
        <v>32</v>
      </c>
      <c r="E1" s="6" t="s">
        <v>27</v>
      </c>
      <c r="F1" s="13" t="s">
        <v>29</v>
      </c>
      <c r="G1" s="7" t="s">
        <v>33</v>
      </c>
      <c r="H1" s="10" t="s">
        <v>34</v>
      </c>
    </row>
    <row r="2" spans="1:8" x14ac:dyDescent="0.3">
      <c r="A2" s="5">
        <v>1</v>
      </c>
      <c r="B2" s="5" t="s">
        <v>23</v>
      </c>
      <c r="C2" s="5" t="s">
        <v>24</v>
      </c>
      <c r="D2" s="5">
        <v>10</v>
      </c>
      <c r="E2" s="5" t="s">
        <v>28</v>
      </c>
      <c r="F2" s="14">
        <v>42697.961180555554</v>
      </c>
      <c r="G2" s="8">
        <f t="shared" ref="G2:G3" si="0">INT(F2)</f>
        <v>42697</v>
      </c>
      <c r="H2" s="11">
        <f t="shared" ref="H2:H3" si="1">F2-G2</f>
        <v>0.96118055555416504</v>
      </c>
    </row>
    <row r="3" spans="1:8" x14ac:dyDescent="0.3">
      <c r="A3" s="5">
        <v>2</v>
      </c>
      <c r="B3" s="5">
        <v>2022</v>
      </c>
      <c r="C3" s="5" t="s">
        <v>25</v>
      </c>
      <c r="D3" s="5">
        <v>5</v>
      </c>
      <c r="E3" s="5" t="s">
        <v>31</v>
      </c>
      <c r="F3" s="14">
        <v>42695.010081018518</v>
      </c>
      <c r="G3" s="8">
        <f t="shared" si="0"/>
        <v>42695</v>
      </c>
      <c r="H3" s="11">
        <f t="shared" si="1"/>
        <v>1.0081018517666962E-2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3"/>
  <sheetViews>
    <sheetView showGridLines="0" showRowColHeaders="0" workbookViewId="0">
      <selection activeCell="B29" sqref="B29"/>
    </sheetView>
  </sheetViews>
  <sheetFormatPr defaultColWidth="8.75" defaultRowHeight="15" x14ac:dyDescent="0.35"/>
  <cols>
    <col min="1" max="1" width="21.25" style="2" bestFit="1" customWidth="1"/>
    <col min="2" max="2" width="36.83203125" style="2" bestFit="1" customWidth="1"/>
    <col min="3" max="16384" width="8.75" style="2"/>
  </cols>
  <sheetData>
    <row r="1" spans="1:5" x14ac:dyDescent="0.35">
      <c r="A1" s="4" t="s">
        <v>3</v>
      </c>
      <c r="B1" s="4" t="s">
        <v>4</v>
      </c>
    </row>
    <row r="2" spans="1:5" x14ac:dyDescent="0.35">
      <c r="A2" s="1" t="s">
        <v>11</v>
      </c>
      <c r="B2" s="3" t="s">
        <v>13</v>
      </c>
      <c r="C2" s="1"/>
      <c r="D2" s="1"/>
      <c r="E2" s="1"/>
    </row>
    <row r="3" spans="1:5" x14ac:dyDescent="0.35">
      <c r="A3" s="1" t="s">
        <v>9</v>
      </c>
      <c r="B3" s="3" t="s">
        <v>12</v>
      </c>
      <c r="C3" s="1"/>
      <c r="D3" s="1"/>
      <c r="E3" s="1"/>
    </row>
    <row r="4" spans="1:5" x14ac:dyDescent="0.35">
      <c r="A4" s="1" t="s">
        <v>10</v>
      </c>
      <c r="B4" s="3" t="s">
        <v>14</v>
      </c>
      <c r="C4" s="1"/>
      <c r="D4" s="1"/>
      <c r="E4" s="1"/>
    </row>
    <row r="5" spans="1:5" x14ac:dyDescent="0.35">
      <c r="A5" s="1" t="s">
        <v>16</v>
      </c>
      <c r="B5" s="3" t="s">
        <v>26</v>
      </c>
      <c r="C5" s="1"/>
      <c r="D5" s="1"/>
      <c r="E5" s="1"/>
    </row>
    <row r="6" spans="1:5" x14ac:dyDescent="0.35">
      <c r="A6" s="1" t="s">
        <v>20</v>
      </c>
      <c r="B6" s="3" t="s">
        <v>19</v>
      </c>
      <c r="C6" s="1"/>
      <c r="D6" s="1"/>
      <c r="E6" s="1"/>
    </row>
    <row r="7" spans="1:5" x14ac:dyDescent="0.35">
      <c r="A7" s="1" t="s">
        <v>17</v>
      </c>
      <c r="B7" s="3" t="s">
        <v>18</v>
      </c>
      <c r="C7" s="1"/>
      <c r="D7" s="1"/>
      <c r="E7" s="1"/>
    </row>
    <row r="8" spans="1:5" x14ac:dyDescent="0.35">
      <c r="A8" s="1" t="s">
        <v>15</v>
      </c>
      <c r="B8" s="3" t="s">
        <v>8</v>
      </c>
      <c r="C8" s="1"/>
      <c r="D8" s="1"/>
      <c r="E8" s="1"/>
    </row>
    <row r="9" spans="1:5" x14ac:dyDescent="0.35">
      <c r="A9" s="1" t="s">
        <v>0</v>
      </c>
      <c r="B9" s="3">
        <v>20</v>
      </c>
      <c r="C9" s="1"/>
      <c r="D9" s="1"/>
      <c r="E9" s="1"/>
    </row>
    <row r="10" spans="1:5" x14ac:dyDescent="0.35">
      <c r="A10" s="1" t="s">
        <v>1</v>
      </c>
      <c r="B10" s="3">
        <v>15</v>
      </c>
      <c r="C10" s="1"/>
      <c r="D10" s="1"/>
      <c r="E10" s="1"/>
    </row>
    <row r="11" spans="1:5" x14ac:dyDescent="0.35">
      <c r="A11" s="1" t="s">
        <v>2</v>
      </c>
      <c r="B11" s="3" t="s">
        <v>35</v>
      </c>
      <c r="C11" s="1"/>
      <c r="D11" s="1"/>
      <c r="E11" s="1"/>
    </row>
    <row r="12" spans="1:5" x14ac:dyDescent="0.35">
      <c r="A12" s="1" t="s">
        <v>36</v>
      </c>
      <c r="B12" s="3" t="s">
        <v>53</v>
      </c>
      <c r="C12" s="1"/>
      <c r="D12" s="1"/>
      <c r="E12" s="1"/>
    </row>
    <row r="13" spans="1:5" x14ac:dyDescent="0.35">
      <c r="A13" s="1" t="s">
        <v>37</v>
      </c>
      <c r="B13" s="3" t="s">
        <v>52</v>
      </c>
      <c r="C13" s="1"/>
      <c r="D13" s="1"/>
      <c r="E13" s="1"/>
    </row>
    <row r="14" spans="1:5" x14ac:dyDescent="0.35">
      <c r="A14" s="1"/>
      <c r="B14" s="1"/>
      <c r="C14" s="1"/>
      <c r="D14" s="1"/>
      <c r="E14" s="1"/>
    </row>
    <row r="15" spans="1:5" x14ac:dyDescent="0.35">
      <c r="A15" s="1"/>
      <c r="B15" s="1"/>
      <c r="C15" s="1"/>
      <c r="D15" s="1"/>
      <c r="E15" s="1"/>
    </row>
    <row r="16" spans="1:5" x14ac:dyDescent="0.35">
      <c r="A16" s="1"/>
      <c r="B16" s="1"/>
      <c r="C16" s="1"/>
      <c r="D16" s="1"/>
      <c r="E16" s="1"/>
    </row>
    <row r="17" spans="1:5" x14ac:dyDescent="0.35">
      <c r="A17" s="1"/>
      <c r="B17" s="1"/>
      <c r="C17" s="1"/>
      <c r="D17" s="1"/>
      <c r="E17" s="1"/>
    </row>
    <row r="18" spans="1:5" x14ac:dyDescent="0.35">
      <c r="A18" s="1"/>
      <c r="B18" s="1"/>
      <c r="C18" s="1"/>
      <c r="D18" s="1"/>
      <c r="E18" s="1"/>
    </row>
    <row r="19" spans="1:5" x14ac:dyDescent="0.35">
      <c r="A19" s="1"/>
      <c r="B19" s="1"/>
      <c r="C19" s="1"/>
      <c r="D19" s="1"/>
      <c r="E19" s="1"/>
    </row>
    <row r="20" spans="1:5" x14ac:dyDescent="0.35">
      <c r="A20" s="1"/>
      <c r="B20" s="1"/>
      <c r="C20" s="1"/>
      <c r="D20" s="1"/>
      <c r="E20" s="1"/>
    </row>
    <row r="21" spans="1:5" x14ac:dyDescent="0.35">
      <c r="A21" s="1"/>
      <c r="B21" s="1"/>
      <c r="C21" s="1"/>
      <c r="D21" s="1"/>
      <c r="E21" s="1"/>
    </row>
    <row r="22" spans="1:5" x14ac:dyDescent="0.35">
      <c r="A22" s="1"/>
      <c r="B22" s="1"/>
      <c r="C22" s="1"/>
      <c r="D22" s="1"/>
      <c r="E22" s="1"/>
    </row>
    <row r="23" spans="1:5" x14ac:dyDescent="0.35">
      <c r="A23" s="1"/>
      <c r="B23" s="1"/>
      <c r="C23" s="1"/>
      <c r="D23" s="1"/>
      <c r="E23" s="1"/>
    </row>
  </sheetData>
  <phoneticPr fontId="1" type="noConversion"/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(Master)ViewQuoteTemplate</vt:lpstr>
      <vt:lpstr>Title</vt:lpstr>
      <vt:lpstr>ViewQuote</vt:lpstr>
      <vt:lpstr>QuoteTable</vt:lpstr>
      <vt:lpstr>OccupationTable</vt:lpstr>
      <vt:lpstr>LifeTable</vt:lpstr>
      <vt:lpstr>StaffLoginInfo</vt:lpstr>
      <vt:lpstr>Config</vt:lpstr>
      <vt:lpstr>'(Master)ViewQuoteTemplate'!Print_Area</vt:lpstr>
      <vt:lpstr>ViewQuote!Print_Area</vt:lpstr>
      <vt:lpstr>ViewQuote!YOB</vt:lpstr>
      <vt:lpstr>YOB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MeteoR Figel</dc:creator>
  <cp:lastModifiedBy>MeteoR Figel</cp:lastModifiedBy>
  <cp:lastPrinted>2016-11-22T19:39:09Z</cp:lastPrinted>
  <dcterms:created xsi:type="dcterms:W3CDTF">2015-06-05T18:17:20Z</dcterms:created>
  <dcterms:modified xsi:type="dcterms:W3CDTF">2016-11-23T15:04:20Z</dcterms:modified>
</cp:coreProperties>
</file>